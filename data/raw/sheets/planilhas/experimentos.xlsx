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racterizacao" sheetId="1" state="visible" r:id="rId3"/>
    <sheet name="COV" sheetId="2" state="visible" r:id="rId4"/>
    <sheet name="Calibracao Bombas" sheetId="3" state="visible" r:id="rId5"/>
    <sheet name="Nutrien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<sst xmlns="http://schemas.openxmlformats.org/spreadsheetml/2006/main" count="244" uniqueCount="132">
  <si>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</si>
  <si>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</si>
  <si>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</si>
  <si>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</si>
  <si>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</si>
  <si>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</si>
  <si>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</si>
  <si>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</si>
  <si>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</si>
  <si>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</si>
  <si>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</si>
  <si>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</si>
  <si>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</si>
  <si>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</si>
  <si>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</si>
  <si>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</si>
  <si>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</si>
  <si>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</si>
  <si>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</si>
  <si>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</si>
  <si>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</si>
  <si>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</si>
  <si>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</si>
  <si>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</si>
  <si>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</si>
  <si>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</si>
  <si>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</si>
  <si>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</si>
  <si>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</si>
  <si>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</si>
  <si>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</si>
  <si>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</si>
  <si>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</si>
  <si>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</si>
  <si>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</si>
  <si>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</si>
  <si>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</si>
  <si>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</si>
  <si>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</si>
  <si>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</si>
  <si>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</si>
  <si>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</si>
  <si>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</si>
  <si>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</si>
  <si>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</si>
  <si>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Glucose</t>
  </si>
  <si>
    <t xml:space="preserve">Diluicao</t>
  </si>
  <si>
    <t xml:space="preserve">GL – BIO</t>
  </si>
  <si>
    <t xml:space="preserve">Densidade ajustada (g/L)</t>
  </si>
  <si>
    <t xml:space="preserve">GL – PURO</t>
  </si>
  <si>
    <t xml:space="preserve">TC ajustado (g/L)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</si>
  <si>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</si>
  <si>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</si>
  <si>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</si>
  <si>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</si>
  <si>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</si>
  <si>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</si>
  <si>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</si>
  <si>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C/N</t>
  </si>
  <si>
    <t xml:space="preserve">Volume Ratio (L)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</si>
  <si>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</si>
  <si>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</si>
  <si>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</si>
  <si>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</si>
  <si>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</si>
  <si>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-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</si>
  <si>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</si>
  <si>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</si>
  <si>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</si>
  <si>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</si>
  <si>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</si>
  <si>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</si>
  <si>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</si>
  <si>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Calculo COV</t>
  </si>
  <si>
    <t xml:space="preserve">1 estagio</t>
  </si>
  <si>
    <t xml:space="preserve">2 estagios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</si>
  <si>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</si>
  <si>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</si>
  <si>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</si>
  <si>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</si>
  <si>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VS (g/d)</t>
  </si>
  <si>
    <t xml:space="preserve">VS (Kg/d)</t>
  </si>
  <si>
    <t xml:space="preserve">COV (Kg SV/m³ d)</t>
  </si>
  <si>
    <t xml:space="preserve">Reator Pequeno 1 </t>
  </si>
  <si>
    <t xml:space="preserve">4-8</t>
  </si>
  <si>
    <t xml:space="preserve">Reator Pequeno 2</t>
  </si>
  <si>
    <t xml:space="preserve">Reator Grande</t>
  </si>
  <si>
    <t xml:space="preserve">Calculo para montar a solucao</t>
  </si>
  <si>
    <t xml:space="preserve">mL</t>
  </si>
  <si>
    <t xml:space="preserve">g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</si>
  <si>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</si>
  <si>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</si>
  <si>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</si>
  <si>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</si>
  <si>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</si>
  <si>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</si>
  <si>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</si>
  <si>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</si>
  <si>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</si>
  <si>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</si>
  <si>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</si>
  <si>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</si>
  <si>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</si>
  <si>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</si>
  <si>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</si>
  <si>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</si>
  <si>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</si>
  <si>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</si>
  <si>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</si>
  <si>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</si>
  <si>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</si>
  <si>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</si>
  <si>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</si>
  <si>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</si>
  <si>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</si>
  <si>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</si>
  <si>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</si>
  <si>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</si>
  <si>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</si>
  <si>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</si>
  <si>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MgSO4.7H2O</t>
  </si>
  <si>
    <t xml:space="preserve">FeSO4.7H2O</t>
  </si>
  <si>
    <t xml:space="preserve">CoCl2.6H2O</t>
  </si>
  <si>
    <t xml:space="preserve">ZnCl2</t>
  </si>
  <si>
    <t xml:space="preserve">NiCl2.6H2O</t>
  </si>
  <si>
    <t xml:space="preserve">EDTA</t>
  </si>
  <si>
    <t xml:space="preserve">CuSO4.5H2O</t>
  </si>
  <si>
    <t xml:space="preserve">g/L</t>
  </si>
  <si>
    <t xml:space="preserve">1X </t>
  </si>
  <si>
    <t xml:space="preserve">100X</t>
  </si>
  <si>
    <t xml:space="preserve">1000X</t>
  </si>
  <si>
    <t xml:space="preserve">2000X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</si>
</sst>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0000"/>
    <numFmt numFmtId="167" formatCode="0"/>
    <numFmt numFmtId="168" formatCode="0.000000"/>
    <numFmt numFmtId="169" formatCode="0.00000000"/>
    <numFmt numFmtId="170" formatCode="0.000000000"/>
    <numFmt numFmtId="171" formatCode="0.00000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FFFFCC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1ACA6"/>
      <rgbColor rgb="FF729FC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A6"/>
      <rgbColor rgb="FFB3B3B3"/>
      <rgbColor rgb="FFFF99CC"/>
      <rgbColor rgb="FFB7B3CA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27235805"/>
        <c:axId val="2387099"/>
      </c:scatterChart>
      <c:valAx>
        <c:axId val="2723580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87099"/>
        <c:crosses val="autoZero"/>
        <c:crossBetween val="midCat"/>
      </c:valAx>
      <c:valAx>
        <c:axId val="2387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72358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95746905"/>
        <c:axId val="30233797"/>
      </c:scatterChart>
      <c:valAx>
        <c:axId val="957469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233797"/>
        <c:crosses val="autoZero"/>
        <c:crossBetween val="midCat"/>
      </c:valAx>
      <c:valAx>
        <c:axId val="302337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57469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Bombas'!$D$26:$D$36</c:f>
              <c:numCache>
                <c:formatCode>General</c:formatCode>
                <c:ptCount val="11"/>
              </c:numCache>
            </c:numRef>
          </c:yVal>
          <c:smooth val="0"/>
        </c:ser>
        <c:axId val="75667383"/>
        <c:axId val="73478442"/>
      </c:scatterChart>
      <c:valAx>
        <c:axId val="75667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3478442"/>
        <c:crosses val="autoZero"/>
        <c:crossBetween val="midCat"/>
      </c:valAx>
      <c:valAx>
        <c:axId val="73478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66738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General</c:formatCode>
                <c:ptCount val="11"/>
              </c:numCache>
            </c:numRef>
          </c:yVal>
          <c:smooth val="0"/>
        </c:ser>
        <c:axId val="52471326"/>
        <c:axId val="25782642"/>
      </c:scatterChart>
      <c:valAx>
        <c:axId val="52471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5782642"/>
        <c:crosses val="autoZero"/>
        <c:crossBetween val="midCat"/>
      </c:valAx>
      <c:valAx>
        <c:axId val="257826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24713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374760</xdr:colOff>
      <xdr:row>0</xdr:row>
      <xdr:rowOff>0</xdr:rowOff>
    </xdr:from>
    <xdr:to>
      <xdr:col>24</xdr:col>
      <xdr:colOff>743760</xdr:colOff>
      <xdr:row>76</xdr:row>
      <xdr:rowOff>97920</xdr:rowOff>
    </xdr:to>
    <xdr:sp>
      <xdr:nvSpPr>
        <xdr:cNvPr id="1" name="CaixaDeTexto 5"/>
        <xdr:cNvSpPr/>
      </xdr:nvSpPr>
      <xdr:spPr>
        <a:xfrm>
          <a:off x="17011080" y="0"/>
          <a:ext cx="6871320" cy="124779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2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3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4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5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0" activeCellId="0" sqref="U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5.16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462.540794985314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521.613431099206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867.723994290836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867.723994290836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-0.930821831644377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871.342128638298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481.019377555725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462.540794985314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541.993309467566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521.613431099206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39" t="n">
        <v>5.039</v>
      </c>
      <c r="D28" s="39" t="n">
        <v>5.044</v>
      </c>
      <c r="E28" s="39" t="n">
        <v>0.00562</v>
      </c>
      <c r="F28" s="39" t="n">
        <v>0.6891</v>
      </c>
      <c r="G28" s="40" t="n">
        <v>400</v>
      </c>
      <c r="H28" s="25" t="n">
        <f aca="false">D28*G28</f>
        <v>2017.6</v>
      </c>
      <c r="I28" s="41" t="n">
        <f aca="false">MEDIAN(H28:H29)</f>
        <v>1778.6</v>
      </c>
      <c r="J28" s="25" t="n">
        <f aca="false">E28*G28</f>
        <v>2.248</v>
      </c>
      <c r="K28" s="41" t="n">
        <f aca="false">MEDIAN(J28:J29)</f>
        <v>16.68</v>
      </c>
      <c r="L28" s="25" t="n">
        <f aca="false">F28*G28</f>
        <v>275.64</v>
      </c>
      <c r="M28" s="41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2" t="n">
        <v>3.927</v>
      </c>
      <c r="D29" s="42" t="n">
        <v>3.849</v>
      </c>
      <c r="E29" s="42" t="n">
        <v>0.07778</v>
      </c>
      <c r="F29" s="42" t="n">
        <v>0.7197</v>
      </c>
      <c r="G29" s="43" t="n">
        <v>400</v>
      </c>
      <c r="H29" s="44" t="n">
        <f aca="false">D29*G29</f>
        <v>1539.6</v>
      </c>
      <c r="I29" s="41"/>
      <c r="J29" s="44" t="n">
        <f aca="false">E29*G29</f>
        <v>31.112</v>
      </c>
      <c r="K29" s="41"/>
      <c r="L29" s="44" t="n">
        <f aca="false">F29*G29</f>
        <v>287.88</v>
      </c>
      <c r="M29" s="41"/>
    </row>
    <row r="30" customFormat="false" ht="12.8" hidden="false" customHeight="false" outlineLevel="0" collapsed="false">
      <c r="A30" s="8" t="s">
        <v>11</v>
      </c>
      <c r="B30" s="9" t="n">
        <v>1</v>
      </c>
      <c r="C30" s="45" t="n">
        <v>8.808</v>
      </c>
      <c r="D30" s="45" t="n">
        <v>8.812</v>
      </c>
      <c r="E30" s="45" t="n">
        <v>0.00431</v>
      </c>
      <c r="F30" s="45" t="n">
        <v>0.5875</v>
      </c>
      <c r="G30" s="46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7" t="n">
        <v>4.992</v>
      </c>
      <c r="D31" s="47" t="n">
        <v>4.996</v>
      </c>
      <c r="E31" s="47" t="n">
        <v>0.00376</v>
      </c>
      <c r="F31" s="47" t="n">
        <v>0.634</v>
      </c>
      <c r="G31" s="48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true" showOutlineSymbols="true" defaultGridColor="true" view="normal" topLeftCell="C4" colorId="64" zoomScale="100" zoomScaleNormal="100" zoomScalePageLayoutView="100" workbookViewId="0">
      <selection pane="topLeft" activeCell="L60" activeCellId="0" sqref="L60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49" width="11.53"/>
    <col collapsed="false" customWidth="true" hidden="false" outlineLevel="0" max="2" min="2" style="49" width="15.76"/>
    <col collapsed="false" customWidth="false" hidden="false" outlineLevel="0" max="5" min="3" style="49" width="11.53"/>
    <col collapsed="false" customWidth="true" hidden="false" outlineLevel="0" max="6" min="6" style="49" width="11.12"/>
    <col collapsed="false" customWidth="true" hidden="false" outlineLevel="0" max="9" min="9" style="0" width="17.01"/>
    <col collapsed="false" customWidth="true" hidden="false" outlineLevel="0" max="10" min="10" style="0" width="15.99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3.76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0" t="s">
        <v>39</v>
      </c>
      <c r="B1" s="50" t="s">
        <v>40</v>
      </c>
      <c r="C1" s="50" t="s">
        <v>41</v>
      </c>
      <c r="D1" s="50" t="s">
        <v>42</v>
      </c>
      <c r="E1" s="50" t="s">
        <v>17</v>
      </c>
      <c r="F1" s="50" t="s">
        <v>22</v>
      </c>
      <c r="J1" s="51"/>
      <c r="K1" s="52" t="s">
        <v>43</v>
      </c>
      <c r="L1" s="53" t="s">
        <v>44</v>
      </c>
      <c r="M1" s="54"/>
      <c r="N1" s="51"/>
      <c r="O1" s="52" t="s">
        <v>43</v>
      </c>
      <c r="P1" s="53" t="s">
        <v>44</v>
      </c>
    </row>
    <row r="2" customFormat="false" ht="12.8" hidden="false" customHeight="false" outlineLevel="0" collapsed="false">
      <c r="A2" s="55" t="s">
        <v>10</v>
      </c>
      <c r="B2" s="56" t="n">
        <f aca="false">Caracterizacao!J3</f>
        <v>1068.43760252525</v>
      </c>
      <c r="C2" s="55" t="n">
        <f aca="false">Caracterizacao!I28/1000</f>
        <v>1.7786</v>
      </c>
      <c r="D2" s="57" t="n">
        <f aca="false">Caracterizacao!M28/1000</f>
        <v>0.28176</v>
      </c>
      <c r="E2" s="58" t="n">
        <f aca="false">Caracterizacao!I14</f>
        <v>536.39975270356</v>
      </c>
      <c r="F2" s="56" t="n">
        <f aca="false">Caracterizacao!N14</f>
        <v>520.806779510477</v>
      </c>
      <c r="J2" s="59" t="s">
        <v>39</v>
      </c>
      <c r="K2" s="60" t="s">
        <v>10</v>
      </c>
      <c r="L2" s="61" t="s">
        <v>45</v>
      </c>
      <c r="M2" s="62"/>
      <c r="N2" s="59" t="s">
        <v>46</v>
      </c>
      <c r="O2" s="63" t="n">
        <v>10</v>
      </c>
      <c r="P2" s="64" t="n">
        <v>100</v>
      </c>
    </row>
    <row r="3" customFormat="false" ht="12.8" hidden="false" customHeight="false" outlineLevel="0" collapsed="false">
      <c r="A3" s="65" t="s">
        <v>47</v>
      </c>
      <c r="B3" s="66" t="n">
        <f aca="false">Caracterizacao!J5</f>
        <v>893.074035663281</v>
      </c>
      <c r="C3" s="65" t="n">
        <f aca="false">Caracterizacao!I30/1000</f>
        <v>5.5232</v>
      </c>
      <c r="D3" s="65" t="n">
        <f aca="false">Caracterizacao!M30/1000</f>
        <v>0.4886</v>
      </c>
      <c r="E3" s="67" t="n">
        <f aca="false">Caracterizacao!I17</f>
        <v>867.723994290836</v>
      </c>
      <c r="F3" s="66" t="n">
        <f aca="false">Caracterizacao!N17</f>
        <v>868.654816122481</v>
      </c>
      <c r="J3" s="68" t="s">
        <v>40</v>
      </c>
      <c r="K3" s="69" t="n">
        <f aca="false">INDEX($B$2:$B$100,MATCH($K$2,$A$2:$A$100,0))</f>
        <v>1068.43760252525</v>
      </c>
      <c r="L3" s="70" t="n">
        <f aca="false">INDEX($B$2:$B$100,MATCH($L$2,$A$2:$A$100,0))</f>
        <v>1540</v>
      </c>
      <c r="M3" s="62"/>
      <c r="N3" s="68" t="s">
        <v>48</v>
      </c>
      <c r="O3" s="69" t="n">
        <f aca="false">K3/$O$2</f>
        <v>106.843760252525</v>
      </c>
      <c r="P3" s="70" t="n">
        <f aca="false">L3/$P$2</f>
        <v>15.4</v>
      </c>
    </row>
    <row r="4" customFormat="false" ht="12.8" hidden="false" customHeight="false" outlineLevel="0" collapsed="false">
      <c r="A4" s="71" t="s">
        <v>49</v>
      </c>
      <c r="B4" s="71" t="n">
        <v>126000</v>
      </c>
      <c r="C4" s="71" t="n">
        <v>493</v>
      </c>
      <c r="D4" s="71" t="n">
        <v>0</v>
      </c>
      <c r="E4" s="49" t="n">
        <v>1000</v>
      </c>
      <c r="F4" s="71" t="n">
        <v>1000</v>
      </c>
      <c r="J4" s="68" t="s">
        <v>41</v>
      </c>
      <c r="K4" s="69" t="n">
        <f aca="false">INDEX($C$2:$C$100,MATCH($K$2,$A$2:$A$100,0))</f>
        <v>1.7786</v>
      </c>
      <c r="L4" s="70" t="n">
        <f aca="false">INDEX($C$2:$C$100,MATCH($L$2,$A$2:$A$100,0))</f>
        <v>616</v>
      </c>
      <c r="M4" s="62"/>
      <c r="N4" s="68" t="s">
        <v>50</v>
      </c>
      <c r="O4" s="69" t="n">
        <f aca="false">K4/$O$2</f>
        <v>0.17786</v>
      </c>
      <c r="P4" s="70" t="n">
        <f aca="false">L4/$P$2</f>
        <v>6.16</v>
      </c>
    </row>
    <row r="5" customFormat="false" ht="12.8" hidden="false" customHeight="false" outlineLevel="0" collapsed="false">
      <c r="A5" s="71" t="s">
        <v>45</v>
      </c>
      <c r="B5" s="71" t="n">
        <v>1540</v>
      </c>
      <c r="C5" s="71" t="n">
        <v>616</v>
      </c>
      <c r="D5" s="71" t="n">
        <v>0</v>
      </c>
      <c r="E5" s="49" t="n">
        <v>1540</v>
      </c>
      <c r="F5" s="71" t="n">
        <v>1540</v>
      </c>
      <c r="J5" s="68" t="s">
        <v>42</v>
      </c>
      <c r="K5" s="69" t="n">
        <f aca="false">INDEX($D$2:$D$100,MATCH($K$2,$A$2:$A$100,0))</f>
        <v>0.28176</v>
      </c>
      <c r="L5" s="70" t="n">
        <f aca="false">INDEX($D$2:$D$100,MATCH($L$2,$A$2:$A$100,0))</f>
        <v>0</v>
      </c>
      <c r="N5" s="68" t="s">
        <v>51</v>
      </c>
      <c r="O5" s="69" t="n">
        <f aca="false">K5/$O$2</f>
        <v>0.028176</v>
      </c>
      <c r="P5" s="70" t="n">
        <f aca="false">L5/$P$2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F6" s="71"/>
      <c r="J6" s="68" t="s">
        <v>17</v>
      </c>
      <c r="K6" s="69" t="n">
        <f aca="false">INDEX($E$2:$E$100,MATCH($K$2,$A$2:$A$100,0))</f>
        <v>536.39975270356</v>
      </c>
      <c r="L6" s="70" t="n">
        <f aca="false">INDEX($E$2:$E$100,MATCH($L$2,$A$2:$A$100,0))</f>
        <v>1540</v>
      </c>
      <c r="N6" s="68" t="s">
        <v>52</v>
      </c>
      <c r="O6" s="69" t="n">
        <f aca="false">K6/$O$2</f>
        <v>53.639975270356</v>
      </c>
      <c r="P6" s="70" t="n">
        <f aca="false">L6/$P$2</f>
        <v>15.4</v>
      </c>
    </row>
    <row r="7" customFormat="false" ht="12.8" hidden="false" customHeight="false" outlineLevel="0" collapsed="false">
      <c r="A7" s="71"/>
      <c r="B7" s="71"/>
      <c r="C7" s="71"/>
      <c r="D7" s="71"/>
      <c r="F7" s="71"/>
      <c r="J7" s="72" t="s">
        <v>22</v>
      </c>
      <c r="K7" s="73" t="n">
        <f aca="false">INDEX($F$2:$F$100,MATCH($K$2,$A$2:$A$100,0))</f>
        <v>520.806779510477</v>
      </c>
      <c r="L7" s="74" t="n">
        <f aca="false">INDEX($F$2:$F$100,MATCH($L$2,$A$2:$A$100,0))</f>
        <v>1540</v>
      </c>
      <c r="N7" s="72" t="s">
        <v>53</v>
      </c>
      <c r="O7" s="73" t="n">
        <f aca="false">K7/$O$2</f>
        <v>52.0806779510477</v>
      </c>
      <c r="P7" s="74" t="n">
        <f aca="false">L7/$P$2</f>
        <v>15.4</v>
      </c>
    </row>
    <row r="8" customFormat="false" ht="12.8" hidden="false" customHeight="false" outlineLevel="0" collapsed="false">
      <c r="A8" s="71"/>
      <c r="B8" s="71"/>
      <c r="C8" s="71"/>
      <c r="D8" s="71"/>
      <c r="F8" s="71"/>
    </row>
    <row r="9" customFormat="false" ht="12.8" hidden="false" customHeight="false" outlineLevel="0" collapsed="false">
      <c r="A9" s="71"/>
      <c r="B9" s="71"/>
      <c r="C9" s="71"/>
      <c r="D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F14" s="71"/>
      <c r="I14" s="78" t="s">
        <v>57</v>
      </c>
      <c r="J14" s="79" t="n">
        <v>1</v>
      </c>
    </row>
    <row r="15" customFormat="false" ht="12.8" hidden="false" customHeight="false" outlineLevel="0" collapsed="false">
      <c r="A15" s="71"/>
      <c r="B15" s="71"/>
      <c r="C15" s="71"/>
      <c r="D15" s="71"/>
      <c r="F15" s="71"/>
      <c r="I15" s="78" t="s">
        <v>58</v>
      </c>
      <c r="J15" s="80" t="n">
        <f aca="false">J13/J14</f>
        <v>25</v>
      </c>
    </row>
    <row r="16" customFormat="false" ht="12.8" hidden="false" customHeight="false" outlineLevel="0" collapsed="false">
      <c r="A16" s="71"/>
      <c r="B16" s="71"/>
      <c r="C16" s="71"/>
      <c r="D16" s="71"/>
      <c r="F16" s="71"/>
      <c r="I16" s="81" t="s">
        <v>59</v>
      </c>
      <c r="J16" s="82" t="n">
        <f aca="false">((J15*P5)-P4)/(O4-(J15*O5))</f>
        <v>11.6990162190907</v>
      </c>
    </row>
    <row r="17" customFormat="false" ht="12.8" hidden="false" customHeight="false" outlineLevel="0" collapsed="false">
      <c r="A17" s="71"/>
      <c r="B17" s="71"/>
      <c r="C17" s="71"/>
      <c r="D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F18" s="71"/>
      <c r="I18" s="83" t="s">
        <v>60</v>
      </c>
      <c r="J18" s="83"/>
      <c r="K18" s="84" t="s">
        <v>61</v>
      </c>
      <c r="L18" s="84" t="s">
        <v>62</v>
      </c>
      <c r="M18" s="75" t="s">
        <v>63</v>
      </c>
      <c r="N18" s="75"/>
      <c r="O18" s="85" t="s">
        <v>64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F19" s="71"/>
      <c r="I19" s="86" t="s">
        <v>43</v>
      </c>
      <c r="J19" s="87" t="s">
        <v>65</v>
      </c>
      <c r="K19" s="87" t="n">
        <f aca="false">J16*J20</f>
        <v>0.116990162190907</v>
      </c>
      <c r="L19" s="87" t="n">
        <f aca="false">K19*1000</f>
        <v>116.990162190907</v>
      </c>
      <c r="M19" s="88" t="n">
        <f aca="false">K19*O4</f>
        <v>0.0208078702472747</v>
      </c>
      <c r="N19" s="88"/>
      <c r="O19" s="89" t="s">
        <v>65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F20" s="71"/>
      <c r="I20" s="90" t="s">
        <v>44</v>
      </c>
      <c r="J20" s="91" t="n">
        <v>0.01</v>
      </c>
      <c r="K20" s="92" t="s">
        <v>65</v>
      </c>
      <c r="L20" s="92" t="n">
        <f aca="false">J20*1000</f>
        <v>10</v>
      </c>
      <c r="M20" s="93" t="n">
        <f aca="false">J20*P4</f>
        <v>0.0616</v>
      </c>
      <c r="N20" s="93"/>
      <c r="O20" s="94" t="s">
        <v>65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F21" s="71"/>
      <c r="I21" s="95" t="s">
        <v>66</v>
      </c>
      <c r="J21" s="96" t="n">
        <f aca="false">J20+K19</f>
        <v>0.126990162190907</v>
      </c>
      <c r="K21" s="96" t="s">
        <v>65</v>
      </c>
      <c r="L21" s="96" t="n">
        <f aca="false">J21*1000</f>
        <v>126.990162190907</v>
      </c>
      <c r="M21" s="96" t="n">
        <f aca="false">M19+M20</f>
        <v>0.0824078702472747</v>
      </c>
      <c r="N21" s="96"/>
      <c r="O21" s="97" t="n">
        <f aca="false">M21/J21</f>
        <v>0.648931136282741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F22" s="71"/>
      <c r="I22" s="86" t="s">
        <v>43</v>
      </c>
      <c r="J22" s="98" t="n">
        <v>0.1</v>
      </c>
      <c r="K22" s="87" t="s">
        <v>65</v>
      </c>
      <c r="L22" s="87" t="n">
        <f aca="false">J22*1000</f>
        <v>100</v>
      </c>
      <c r="M22" s="88" t="n">
        <f aca="false">J22*O3</f>
        <v>10.6843760252525</v>
      </c>
      <c r="N22" s="88"/>
      <c r="O22" s="89" t="s">
        <v>65</v>
      </c>
      <c r="P22" s="89"/>
    </row>
    <row r="23" customFormat="false" ht="12.8" hidden="false" customHeight="false" outlineLevel="0" collapsed="false">
      <c r="A23" s="71"/>
      <c r="B23" s="71"/>
      <c r="C23" s="71"/>
      <c r="D23" s="71"/>
      <c r="F23" s="71"/>
      <c r="I23" s="90" t="s">
        <v>44</v>
      </c>
      <c r="J23" s="92" t="s">
        <v>65</v>
      </c>
      <c r="K23" s="92" t="n">
        <f aca="false">J22/J16</f>
        <v>0.00854772727272727</v>
      </c>
      <c r="L23" s="92" t="n">
        <f aca="false">K23*1000</f>
        <v>8.54772727272727</v>
      </c>
      <c r="M23" s="93" t="n">
        <f aca="false">K23*P3</f>
        <v>0.131635</v>
      </c>
      <c r="N23" s="93"/>
      <c r="O23" s="94" t="s">
        <v>65</v>
      </c>
      <c r="P23" s="94"/>
    </row>
    <row r="24" customFormat="false" ht="12.8" hidden="false" customHeight="false" outlineLevel="0" collapsed="false">
      <c r="A24" s="71"/>
      <c r="B24" s="71"/>
      <c r="C24" s="71"/>
      <c r="D24" s="71"/>
      <c r="F24" s="71"/>
      <c r="I24" s="95" t="s">
        <v>66</v>
      </c>
      <c r="J24" s="96" t="n">
        <f aca="false">J22+K23</f>
        <v>0.108547727272727</v>
      </c>
      <c r="K24" s="96" t="s">
        <v>65</v>
      </c>
      <c r="L24" s="96" t="n">
        <f aca="false">J24*1000</f>
        <v>108.547727272727</v>
      </c>
      <c r="M24" s="96" t="n">
        <f aca="false">M22+M23</f>
        <v>10.8160110252525</v>
      </c>
      <c r="N24" s="96"/>
      <c r="O24" s="97" t="n">
        <f aca="false">M24/J24</f>
        <v>99.6429063694458</v>
      </c>
      <c r="P24" s="97"/>
    </row>
    <row r="25" customFormat="false" ht="12.8" hidden="false" customHeight="false" outlineLevel="0" collapsed="false">
      <c r="A25" s="71"/>
      <c r="B25" s="71"/>
      <c r="C25" s="71"/>
      <c r="D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F27" s="71"/>
      <c r="I27" s="75" t="s">
        <v>67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F29" s="71"/>
      <c r="I29" s="99" t="s">
        <v>65</v>
      </c>
      <c r="J29" s="75" t="s">
        <v>68</v>
      </c>
      <c r="K29" s="75" t="s">
        <v>69</v>
      </c>
      <c r="L29" s="75" t="s">
        <v>70</v>
      </c>
      <c r="M29" s="75" t="s">
        <v>19</v>
      </c>
      <c r="N29" s="75" t="s">
        <v>71</v>
      </c>
      <c r="O29" s="75" t="s">
        <v>24</v>
      </c>
      <c r="P29" s="23" t="s">
        <v>72</v>
      </c>
    </row>
    <row r="30" customFormat="false" ht="12.8" hidden="false" customHeight="false" outlineLevel="0" collapsed="false">
      <c r="A30" s="71"/>
      <c r="B30" s="71"/>
      <c r="C30" s="71"/>
      <c r="D30" s="71"/>
      <c r="F30" s="71"/>
      <c r="I30" s="76" t="s">
        <v>43</v>
      </c>
      <c r="J30" s="87" t="n">
        <f aca="false">K19*O3</f>
        <v>12.4996688410292</v>
      </c>
      <c r="K30" s="100" t="n">
        <f aca="false">J30+J31</f>
        <v>12.6536688410292</v>
      </c>
      <c r="L30" s="100" t="n">
        <f aca="false">($O$6*K19)+($P$6*J20)</f>
        <v>6.42934940679517</v>
      </c>
      <c r="M30" s="100" t="n">
        <f aca="false">(L30/K30)*100</f>
        <v>50.8101601801696</v>
      </c>
      <c r="N30" s="100" t="n">
        <f aca="false">($O$7*K19)+($P$7*J20)</f>
        <v>6.24692696050544</v>
      </c>
      <c r="O30" s="100" t="n">
        <f aca="false">(N30/K30)*100</f>
        <v>49.3685036252088</v>
      </c>
      <c r="P30" s="101" t="n">
        <f aca="false">N30/L30</f>
        <v>0.971626608736348</v>
      </c>
    </row>
    <row r="31" customFormat="false" ht="12.8" hidden="false" customHeight="false" outlineLevel="0" collapsed="false">
      <c r="A31" s="71"/>
      <c r="B31" s="71"/>
      <c r="C31" s="71"/>
      <c r="D31" s="71"/>
      <c r="F31" s="71"/>
      <c r="I31" s="102" t="s">
        <v>44</v>
      </c>
      <c r="J31" s="96" t="n">
        <f aca="false">J20*P3</f>
        <v>0.154</v>
      </c>
      <c r="K31" s="100"/>
      <c r="L31" s="100"/>
      <c r="M31" s="100"/>
      <c r="N31" s="100"/>
      <c r="O31" s="100"/>
      <c r="P31" s="101"/>
    </row>
    <row r="32" customFormat="false" ht="12.8" hidden="false" customHeight="false" outlineLevel="0" collapsed="false">
      <c r="A32" s="71"/>
      <c r="B32" s="71"/>
      <c r="C32" s="71"/>
      <c r="D32" s="71"/>
      <c r="F32" s="71"/>
      <c r="I32" s="76" t="s">
        <v>43</v>
      </c>
      <c r="J32" s="87" t="n">
        <f aca="false">J22*O3</f>
        <v>10.6843760252525</v>
      </c>
      <c r="K32" s="100" t="n">
        <f aca="false">J32+J33</f>
        <v>10.8160110252525</v>
      </c>
      <c r="L32" s="100" t="n">
        <f aca="false">($O$6*K23)+($P$6*J22)</f>
        <v>1.99849987952684</v>
      </c>
      <c r="M32" s="100" t="n">
        <f aca="false">(L32/K32)*100</f>
        <v>18.4772359686106</v>
      </c>
      <c r="N32" s="100" t="n">
        <f aca="false">($O$7*K23)+($P$7*J22)</f>
        <v>1.9851714313043</v>
      </c>
      <c r="O32" s="100" t="n">
        <f aca="false">(N32/K32)*100</f>
        <v>18.3540070980831</v>
      </c>
      <c r="P32" s="101" t="n">
        <f aca="false">N32/L32</f>
        <v>0.993330773567173</v>
      </c>
    </row>
    <row r="33" customFormat="false" ht="12.8" hidden="false" customHeight="false" outlineLevel="0" collapsed="false">
      <c r="A33" s="71"/>
      <c r="B33" s="71"/>
      <c r="C33" s="71"/>
      <c r="D33" s="71"/>
      <c r="F33" s="71"/>
      <c r="I33" s="102" t="s">
        <v>44</v>
      </c>
      <c r="J33" s="96" t="n">
        <f aca="false">K23*P3</f>
        <v>0.131635</v>
      </c>
      <c r="K33" s="100"/>
      <c r="L33" s="100"/>
      <c r="M33" s="100"/>
      <c r="N33" s="100"/>
      <c r="O33" s="100"/>
      <c r="P33" s="101"/>
    </row>
    <row r="34" customFormat="false" ht="12.8" hidden="false" customHeight="false" outlineLevel="0" collapsed="false">
      <c r="A34" s="71"/>
      <c r="B34" s="71"/>
      <c r="C34" s="71"/>
      <c r="D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F35" s="71"/>
    </row>
    <row r="36" customFormat="false" ht="12.8" hidden="false" customHeight="false" outlineLevel="0" collapsed="false">
      <c r="A36" s="71"/>
      <c r="B36" s="71"/>
      <c r="C36" s="71"/>
      <c r="D36" s="71"/>
      <c r="F36" s="71"/>
      <c r="I36" s="75" t="s">
        <v>73</v>
      </c>
      <c r="J36" s="75"/>
      <c r="K36" s="75"/>
      <c r="L36" s="75"/>
      <c r="M36" s="75"/>
      <c r="N36" s="75"/>
      <c r="O36" s="75"/>
      <c r="P36" s="75"/>
    </row>
    <row r="37" customFormat="false" ht="12.8" hidden="false" customHeight="false" outlineLevel="0" collapsed="false">
      <c r="A37" s="71"/>
      <c r="B37" s="71"/>
      <c r="C37" s="71"/>
      <c r="D37" s="71"/>
      <c r="F37" s="71"/>
    </row>
    <row r="38" customFormat="false" ht="12.8" hidden="false" customHeight="false" outlineLevel="0" collapsed="false">
      <c r="A38" s="71"/>
      <c r="B38" s="71"/>
      <c r="C38" s="71"/>
      <c r="D38" s="71"/>
      <c r="F38" s="71"/>
      <c r="I38" s="59" t="s">
        <v>46</v>
      </c>
      <c r="J38" s="59"/>
      <c r="L38" s="76" t="s">
        <v>17</v>
      </c>
      <c r="M38" s="103" t="s">
        <v>22</v>
      </c>
    </row>
    <row r="39" customFormat="false" ht="12.8" hidden="false" customHeight="false" outlineLevel="0" collapsed="false">
      <c r="A39" s="71"/>
      <c r="B39" s="71"/>
      <c r="C39" s="71"/>
      <c r="D39" s="71"/>
      <c r="F39" s="71"/>
      <c r="I39" s="76" t="s">
        <v>74</v>
      </c>
      <c r="J39" s="104" t="n">
        <v>1</v>
      </c>
      <c r="L39" s="105" t="n">
        <f aca="false">L30/(J20+K19)</f>
        <v>50.6287203344918</v>
      </c>
      <c r="M39" s="106" t="n">
        <f aca="false">N30/(J20+K19)</f>
        <v>49.1922118432633</v>
      </c>
    </row>
    <row r="40" customFormat="false" ht="12.8" hidden="false" customHeight="false" outlineLevel="0" collapsed="false">
      <c r="A40" s="71"/>
      <c r="B40" s="71"/>
      <c r="C40" s="71"/>
      <c r="D40" s="71"/>
      <c r="F40" s="71"/>
      <c r="I40" s="102" t="s">
        <v>75</v>
      </c>
      <c r="J40" s="107" t="n">
        <v>1</v>
      </c>
      <c r="L40" s="108" t="n">
        <f aca="false">L32/(J22+K23)</f>
        <v>18.4112549358642</v>
      </c>
      <c r="M40" s="109" t="n">
        <f aca="false">N32/(J22+K23)</f>
        <v>18.2884661077844</v>
      </c>
    </row>
    <row r="41" customFormat="false" ht="12.8" hidden="false" customHeight="false" outlineLevel="0" collapsed="false">
      <c r="A41" s="71"/>
      <c r="B41" s="71"/>
      <c r="C41" s="71"/>
      <c r="D41" s="71"/>
      <c r="F41" s="71"/>
    </row>
    <row r="42" customFormat="false" ht="13.8" hidden="false" customHeight="false" outlineLevel="0" collapsed="false">
      <c r="A42" s="71"/>
      <c r="B42" s="71"/>
      <c r="C42" s="71"/>
      <c r="D42" s="71"/>
      <c r="F42" s="71"/>
      <c r="I42" s="110" t="s">
        <v>76</v>
      </c>
      <c r="J42" s="111" t="s">
        <v>60</v>
      </c>
      <c r="K42" s="75" t="s">
        <v>77</v>
      </c>
      <c r="L42" s="111" t="s">
        <v>78</v>
      </c>
      <c r="M42" s="112" t="s">
        <v>79</v>
      </c>
      <c r="N42" s="99" t="s">
        <v>80</v>
      </c>
      <c r="O42" s="75" t="s">
        <v>81</v>
      </c>
      <c r="P42" s="112" t="s">
        <v>82</v>
      </c>
    </row>
    <row r="43" customFormat="false" ht="13.8" hidden="false" customHeight="false" outlineLevel="0" collapsed="false">
      <c r="A43" s="71"/>
      <c r="B43" s="71"/>
      <c r="C43" s="71"/>
      <c r="D43" s="71"/>
      <c r="F43" s="71"/>
      <c r="I43" s="113" t="s">
        <v>83</v>
      </c>
      <c r="J43" s="114" t="n">
        <v>1</v>
      </c>
      <c r="K43" s="115" t="n">
        <f aca="false">J43/1000</f>
        <v>0.001</v>
      </c>
      <c r="L43" s="116" t="n">
        <v>30</v>
      </c>
      <c r="M43" s="117" t="n">
        <f aca="false">J43/L43</f>
        <v>0.0333333333333333</v>
      </c>
      <c r="N43" s="118" t="n">
        <f aca="false">M43*($M$39/J39)</f>
        <v>1.63974039477544</v>
      </c>
      <c r="O43" s="119" t="n">
        <f aca="false">N43/1000</f>
        <v>0.00163974039477544</v>
      </c>
      <c r="P43" s="120" t="n">
        <f aca="false">O43*(1/K43)</f>
        <v>1.63974039477544</v>
      </c>
      <c r="Q43" s="0" t="s">
        <v>84</v>
      </c>
    </row>
    <row r="44" customFormat="false" ht="12.8" hidden="false" customHeight="false" outlineLevel="0" collapsed="false">
      <c r="A44" s="71"/>
      <c r="B44" s="71"/>
      <c r="C44" s="71"/>
      <c r="D44" s="71"/>
      <c r="F44" s="71"/>
      <c r="I44" s="121" t="s">
        <v>85</v>
      </c>
      <c r="J44" s="122" t="n">
        <v>1</v>
      </c>
      <c r="K44" s="51" t="n">
        <f aca="false">J44/1000</f>
        <v>0.001</v>
      </c>
      <c r="L44" s="123" t="n">
        <v>3</v>
      </c>
      <c r="M44" s="124" t="n">
        <f aca="false">J44/L44</f>
        <v>0.333333333333333</v>
      </c>
      <c r="N44" s="125" t="n">
        <f aca="false">M44*($M$39/J40)</f>
        <v>16.3974039477544</v>
      </c>
      <c r="O44" s="126" t="n">
        <f aca="false">N44/1000</f>
        <v>0.0163974039477544</v>
      </c>
      <c r="P44" s="127" t="n">
        <f aca="false">O44*(1/K44)</f>
        <v>16.3974039477544</v>
      </c>
    </row>
    <row r="45" customFormat="false" ht="12.8" hidden="false" customHeight="false" outlineLevel="0" collapsed="false">
      <c r="A45" s="71"/>
      <c r="B45" s="71"/>
      <c r="C45" s="71"/>
      <c r="D45" s="71"/>
      <c r="F45" s="71"/>
      <c r="I45" s="128" t="s">
        <v>86</v>
      </c>
      <c r="J45" s="129" t="n">
        <v>4</v>
      </c>
      <c r="K45" s="130" t="n">
        <f aca="false">J45/1000</f>
        <v>0.004</v>
      </c>
      <c r="L45" s="131" t="n">
        <v>12</v>
      </c>
      <c r="M45" s="132" t="n">
        <f aca="false">J45/L45</f>
        <v>0.333333333333333</v>
      </c>
      <c r="N45" s="133" t="n">
        <f aca="false">M45*($M$39/J40)</f>
        <v>16.3974039477544</v>
      </c>
      <c r="O45" s="134" t="n">
        <f aca="false">N45/1000</f>
        <v>0.0163974039477544</v>
      </c>
      <c r="P45" s="135" t="n">
        <f aca="false">O45*(1/K45)</f>
        <v>4.09935098693861</v>
      </c>
    </row>
    <row r="46" customFormat="false" ht="12.8" hidden="false" customHeight="false" outlineLevel="0" collapsed="false">
      <c r="A46" s="71"/>
      <c r="B46" s="71"/>
      <c r="C46" s="71"/>
      <c r="D46" s="71"/>
      <c r="F46" s="71"/>
      <c r="N46" s="118" t="n">
        <f aca="false">M43*($M$40/J39)</f>
        <v>0.609615536926146</v>
      </c>
      <c r="O46" s="119" t="n">
        <f aca="false">N46/1000</f>
        <v>0.000609615536926146</v>
      </c>
      <c r="P46" s="120" t="n">
        <f aca="false">O46*(1/K43)</f>
        <v>0.609615536926146</v>
      </c>
      <c r="Q46" s="0" t="s">
        <v>84</v>
      </c>
    </row>
    <row r="47" customFormat="false" ht="12.8" hidden="false" customHeight="false" outlineLevel="0" collapsed="false">
      <c r="A47" s="71"/>
      <c r="B47" s="71"/>
      <c r="C47" s="71"/>
      <c r="D47" s="71"/>
      <c r="F47" s="71"/>
      <c r="I47" s="75" t="s">
        <v>87</v>
      </c>
      <c r="J47" s="75"/>
      <c r="K47" s="75"/>
      <c r="L47" s="75"/>
      <c r="N47" s="125" t="n">
        <f aca="false">M44*($M$40/J40)</f>
        <v>6.09615536926146</v>
      </c>
      <c r="O47" s="126" t="n">
        <f aca="false">N47/1000</f>
        <v>0.00609615536926146</v>
      </c>
      <c r="P47" s="127" t="n">
        <f aca="false">O47*(1/K44)</f>
        <v>6.09615536926146</v>
      </c>
    </row>
    <row r="48" customFormat="false" ht="12.8" hidden="false" customHeight="false" outlineLevel="0" collapsed="false">
      <c r="A48" s="71"/>
      <c r="B48" s="71"/>
      <c r="C48" s="71"/>
      <c r="D48" s="71"/>
      <c r="F48" s="71"/>
      <c r="N48" s="133" t="n">
        <f aca="false">M45*($M$40/J40)</f>
        <v>6.09615536926146</v>
      </c>
      <c r="O48" s="134" t="n">
        <f aca="false">N48/1000</f>
        <v>0.00609615536926146</v>
      </c>
      <c r="P48" s="135" t="n">
        <f aca="false">O48*(1/K45)</f>
        <v>1.52403884231537</v>
      </c>
    </row>
    <row r="49" customFormat="false" ht="12.8" hidden="false" customHeight="false" outlineLevel="0" collapsed="false">
      <c r="A49" s="71"/>
      <c r="B49" s="71"/>
      <c r="C49" s="71"/>
      <c r="D49" s="71"/>
      <c r="F49" s="71"/>
      <c r="I49" s="136" t="n">
        <v>100</v>
      </c>
      <c r="J49" s="23" t="s">
        <v>62</v>
      </c>
      <c r="K49" s="99" t="s">
        <v>88</v>
      </c>
      <c r="L49" s="23" t="s">
        <v>89</v>
      </c>
    </row>
    <row r="50" customFormat="false" ht="12.8" hidden="false" customHeight="false" outlineLevel="0" collapsed="false">
      <c r="A50" s="71"/>
      <c r="B50" s="71"/>
      <c r="C50" s="71"/>
      <c r="D50" s="71"/>
      <c r="F50" s="71"/>
      <c r="I50" s="59" t="s">
        <v>43</v>
      </c>
      <c r="J50" s="119" t="n">
        <f aca="false">$L$19/$L$21</f>
        <v>0.921253742593329</v>
      </c>
      <c r="K50" s="119" t="n">
        <f aca="false">J50*$I$49</f>
        <v>92.1253742593329</v>
      </c>
      <c r="L50" s="120" t="n">
        <f aca="false">K50*($O$3/1000)</f>
        <v>9.84302140053831</v>
      </c>
    </row>
    <row r="51" customFormat="false" ht="12.8" hidden="false" customHeight="false" outlineLevel="0" collapsed="false">
      <c r="A51" s="71"/>
      <c r="B51" s="71"/>
      <c r="C51" s="71"/>
      <c r="D51" s="71"/>
      <c r="F51" s="71"/>
      <c r="I51" s="72" t="s">
        <v>44</v>
      </c>
      <c r="J51" s="134" t="n">
        <f aca="false">$L$20/$L$21</f>
        <v>0.0787462574066707</v>
      </c>
      <c r="K51" s="134" t="n">
        <f aca="false">J51*$I$49</f>
        <v>7.87462574066707</v>
      </c>
      <c r="L51" s="135" t="n">
        <f aca="false">K51*($P$3/1000)</f>
        <v>0.121269236406273</v>
      </c>
    </row>
    <row r="52" customFormat="false" ht="12.8" hidden="false" customHeight="false" outlineLevel="0" collapsed="false">
      <c r="A52" s="71"/>
      <c r="B52" s="71"/>
      <c r="C52" s="71"/>
      <c r="D52" s="71"/>
      <c r="F52" s="71"/>
      <c r="I52" s="68" t="s">
        <v>43</v>
      </c>
      <c r="J52" s="126" t="n">
        <f aca="false">$L$22/$L$24</f>
        <v>0.921253742593329</v>
      </c>
      <c r="K52" s="126" t="n">
        <f aca="false">J52*$I$49</f>
        <v>92.1253742593329</v>
      </c>
      <c r="L52" s="127" t="n">
        <f aca="false">K52*($O$3/1000)</f>
        <v>9.8430214005383</v>
      </c>
    </row>
    <row r="53" customFormat="false" ht="12.8" hidden="false" customHeight="false" outlineLevel="0" collapsed="false">
      <c r="A53" s="71"/>
      <c r="B53" s="71"/>
      <c r="C53" s="71"/>
      <c r="D53" s="71"/>
      <c r="F53" s="71"/>
      <c r="I53" s="72" t="s">
        <v>44</v>
      </c>
      <c r="J53" s="134" t="n">
        <f aca="false">$L$23/$L$24</f>
        <v>0.0787462574066707</v>
      </c>
      <c r="K53" s="134" t="n">
        <f aca="false">J53*$I$49</f>
        <v>7.87462574066707</v>
      </c>
      <c r="L53" s="135" t="n">
        <f aca="false">K53*($P$3/1000)</f>
        <v>0.121269236406273</v>
      </c>
    </row>
    <row r="54" customFormat="false" ht="12.8" hidden="false" customHeight="false" outlineLevel="0" collapsed="false">
      <c r="A54" s="71"/>
      <c r="B54" s="71"/>
      <c r="C54" s="71"/>
      <c r="D54" s="71"/>
      <c r="F54" s="71"/>
    </row>
    <row r="55" customFormat="false" ht="12.8" hidden="false" customHeight="false" outlineLevel="0" collapsed="false">
      <c r="A55" s="71"/>
      <c r="B55" s="71"/>
      <c r="C55" s="71"/>
      <c r="D55" s="71"/>
      <c r="F55" s="71"/>
      <c r="I55" s="137" t="n">
        <v>500</v>
      </c>
      <c r="J55" s="23" t="s">
        <v>62</v>
      </c>
      <c r="K55" s="75" t="s">
        <v>88</v>
      </c>
      <c r="L55" s="23" t="s">
        <v>89</v>
      </c>
    </row>
    <row r="56" customFormat="false" ht="12.8" hidden="false" customHeight="false" outlineLevel="0" collapsed="false">
      <c r="A56" s="71"/>
      <c r="B56" s="71"/>
      <c r="C56" s="71"/>
      <c r="D56" s="71"/>
      <c r="F56" s="71"/>
      <c r="I56" s="59" t="s">
        <v>43</v>
      </c>
      <c r="J56" s="119" t="n">
        <f aca="false">$L$19/$L$21</f>
        <v>0.921253742593329</v>
      </c>
      <c r="K56" s="119" t="n">
        <f aca="false">J56*$I$55</f>
        <v>460.626871296665</v>
      </c>
      <c r="L56" s="120" t="n">
        <f aca="false">K56*($O$3/1000)</f>
        <v>49.2151070026915</v>
      </c>
    </row>
    <row r="57" customFormat="false" ht="12.8" hidden="false" customHeight="false" outlineLevel="0" collapsed="false">
      <c r="A57" s="71"/>
      <c r="B57" s="71"/>
      <c r="C57" s="71"/>
      <c r="D57" s="71"/>
      <c r="F57" s="71"/>
      <c r="I57" s="72" t="s">
        <v>44</v>
      </c>
      <c r="J57" s="134" t="n">
        <f aca="false">$L$20/$L$21</f>
        <v>0.0787462574066707</v>
      </c>
      <c r="K57" s="134" t="n">
        <f aca="false">J57*$I$55</f>
        <v>39.3731287033354</v>
      </c>
      <c r="L57" s="135" t="n">
        <f aca="false">K57*($P$3/1000)</f>
        <v>0.606346182031365</v>
      </c>
    </row>
    <row r="58" customFormat="false" ht="12.8" hidden="false" customHeight="false" outlineLevel="0" collapsed="false">
      <c r="A58" s="71"/>
      <c r="B58" s="71"/>
      <c r="C58" s="71"/>
      <c r="D58" s="71"/>
      <c r="F58" s="71"/>
      <c r="I58" s="68" t="s">
        <v>43</v>
      </c>
      <c r="J58" s="126" t="n">
        <f aca="false">$L$22/$L$24</f>
        <v>0.921253742593329</v>
      </c>
      <c r="K58" s="126" t="n">
        <f aca="false">J58*$I$55</f>
        <v>460.626871296665</v>
      </c>
      <c r="L58" s="127" t="n">
        <f aca="false">K58*($O$3/1000)</f>
        <v>49.2151070026915</v>
      </c>
    </row>
    <row r="59" customFormat="false" ht="12.8" hidden="false" customHeight="false" outlineLevel="0" collapsed="false">
      <c r="A59" s="71"/>
      <c r="B59" s="71"/>
      <c r="C59" s="71"/>
      <c r="D59" s="71"/>
      <c r="F59" s="71"/>
      <c r="I59" s="72" t="s">
        <v>44</v>
      </c>
      <c r="J59" s="134" t="n">
        <f aca="false">$L$23/$L$24</f>
        <v>0.0787462574066707</v>
      </c>
      <c r="K59" s="134" t="n">
        <f aca="false">J59*$I$55</f>
        <v>39.3731287033354</v>
      </c>
      <c r="L59" s="135" t="n">
        <f aca="false">K59*($P$3/1000)</f>
        <v>0.606346182031364</v>
      </c>
    </row>
    <row r="60" customFormat="false" ht="12.8" hidden="false" customHeight="false" outlineLevel="0" collapsed="false">
      <c r="A60" s="71"/>
      <c r="B60" s="71"/>
      <c r="C60" s="71"/>
      <c r="D60" s="71"/>
      <c r="F60" s="71"/>
    </row>
    <row r="61" customFormat="false" ht="12.8" hidden="false" customHeight="false" outlineLevel="0" collapsed="false">
      <c r="A61" s="71"/>
      <c r="B61" s="71"/>
      <c r="C61" s="71"/>
      <c r="D61" s="71"/>
      <c r="F61" s="71"/>
    </row>
    <row r="62" customFormat="false" ht="12.8" hidden="false" customHeight="false" outlineLevel="0" collapsed="false">
      <c r="A62" s="71"/>
      <c r="B62" s="71"/>
      <c r="C62" s="71"/>
      <c r="D62" s="71"/>
      <c r="F62" s="71"/>
    </row>
    <row r="63" customFormat="false" ht="12.8" hidden="false" customHeight="false" outlineLevel="0" collapsed="false">
      <c r="A63" s="71"/>
      <c r="B63" s="71"/>
      <c r="C63" s="71"/>
      <c r="D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F64" s="71"/>
    </row>
    <row r="65" customFormat="false" ht="12.8" hidden="false" customHeight="false" outlineLevel="0" collapsed="false">
      <c r="A65" s="71"/>
      <c r="B65" s="71"/>
      <c r="C65" s="71"/>
      <c r="D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F67" s="71"/>
    </row>
    <row r="68" customFormat="false" ht="12.8" hidden="false" customHeight="false" outlineLevel="0" collapsed="false">
      <c r="A68" s="71"/>
      <c r="B68" s="71"/>
      <c r="C68" s="71"/>
      <c r="D68" s="71"/>
      <c r="F68" s="71"/>
    </row>
    <row r="69" customFormat="false" ht="12.8" hidden="false" customHeight="false" outlineLevel="0" collapsed="false">
      <c r="A69" s="71"/>
      <c r="B69" s="71"/>
      <c r="C69" s="71"/>
      <c r="D69" s="71"/>
      <c r="F69" s="71"/>
    </row>
    <row r="70" customFormat="false" ht="12.8" hidden="false" customHeight="false" outlineLevel="0" collapsed="false">
      <c r="A70" s="71"/>
      <c r="B70" s="71"/>
      <c r="C70" s="71"/>
      <c r="D70" s="71"/>
      <c r="F70" s="71"/>
    </row>
    <row r="71" customFormat="false" ht="12.8" hidden="false" customHeight="false" outlineLevel="0" collapsed="false">
      <c r="A71" s="71"/>
      <c r="B71" s="71"/>
      <c r="C71" s="71"/>
      <c r="D71" s="71"/>
      <c r="F71" s="71"/>
    </row>
    <row r="72" customFormat="false" ht="12.8" hidden="false" customHeight="false" outlineLevel="0" collapsed="false">
      <c r="A72" s="71"/>
      <c r="B72" s="71"/>
      <c r="C72" s="71"/>
      <c r="D72" s="71"/>
      <c r="F72" s="71"/>
    </row>
    <row r="73" customFormat="false" ht="12.8" hidden="false" customHeight="false" outlineLevel="0" collapsed="false">
      <c r="A73" s="71"/>
      <c r="B73" s="71"/>
      <c r="C73" s="71"/>
      <c r="D73" s="71"/>
      <c r="F73" s="71"/>
    </row>
    <row r="74" customFormat="false" ht="12.8" hidden="false" customHeight="false" outlineLevel="0" collapsed="false">
      <c r="A74" s="71"/>
      <c r="B74" s="71"/>
      <c r="C74" s="71"/>
      <c r="D74" s="71"/>
      <c r="F74" s="71"/>
    </row>
    <row r="75" customFormat="false" ht="12.8" hidden="false" customHeight="false" outlineLevel="0" collapsed="false">
      <c r="A75" s="71"/>
      <c r="B75" s="71"/>
      <c r="C75" s="71"/>
      <c r="D75" s="71"/>
      <c r="F75" s="71"/>
    </row>
    <row r="76" customFormat="false" ht="12.8" hidden="false" customHeight="false" outlineLevel="0" collapsed="false">
      <c r="A76" s="71"/>
      <c r="B76" s="71"/>
      <c r="C76" s="71"/>
      <c r="D76" s="71"/>
      <c r="F76" s="71"/>
    </row>
    <row r="77" customFormat="false" ht="12.8" hidden="false" customHeight="false" outlineLevel="0" collapsed="false">
      <c r="A77" s="71"/>
      <c r="B77" s="71"/>
      <c r="C77" s="71"/>
      <c r="D77" s="71"/>
      <c r="F77" s="71"/>
    </row>
    <row r="78" customFormat="false" ht="12.8" hidden="false" customHeight="false" outlineLevel="0" collapsed="false">
      <c r="A78" s="71"/>
      <c r="B78" s="71"/>
      <c r="C78" s="71"/>
      <c r="D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F79" s="71"/>
    </row>
    <row r="80" customFormat="false" ht="12.8" hidden="false" customHeight="false" outlineLevel="0" collapsed="false">
      <c r="A80" s="71"/>
      <c r="B80" s="71"/>
      <c r="C80" s="71"/>
      <c r="D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F82" s="71"/>
    </row>
    <row r="83" customFormat="false" ht="12.8" hidden="false" customHeight="false" outlineLevel="0" collapsed="false">
      <c r="A83" s="71"/>
      <c r="B83" s="71"/>
      <c r="C83" s="71"/>
      <c r="D83" s="71"/>
      <c r="F83" s="71"/>
    </row>
    <row r="84" customFormat="false" ht="12.8" hidden="false" customHeight="false" outlineLevel="0" collapsed="false">
      <c r="A84" s="71"/>
      <c r="B84" s="71"/>
      <c r="C84" s="71"/>
      <c r="D84" s="71"/>
      <c r="F84" s="71"/>
    </row>
    <row r="85" customFormat="false" ht="12.8" hidden="false" customHeight="false" outlineLevel="0" collapsed="false">
      <c r="A85" s="71"/>
      <c r="B85" s="71"/>
      <c r="C85" s="71"/>
      <c r="D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F86" s="71"/>
    </row>
    <row r="87" customFormat="false" ht="12.8" hidden="false" customHeight="false" outlineLevel="0" collapsed="false">
      <c r="A87" s="71"/>
      <c r="B87" s="71"/>
      <c r="C87" s="71"/>
      <c r="D87" s="71"/>
      <c r="F87" s="71"/>
    </row>
    <row r="88" customFormat="false" ht="12.8" hidden="false" customHeight="false" outlineLevel="0" collapsed="false">
      <c r="A88" s="71"/>
      <c r="B88" s="71"/>
      <c r="C88" s="71"/>
      <c r="D88" s="71"/>
      <c r="F88" s="71"/>
    </row>
    <row r="89" customFormat="false" ht="12.8" hidden="false" customHeight="false" outlineLevel="0" collapsed="false">
      <c r="A89" s="71"/>
      <c r="B89" s="71"/>
      <c r="C89" s="71"/>
      <c r="D89" s="71"/>
      <c r="F89" s="71"/>
    </row>
    <row r="90" customFormat="false" ht="12.8" hidden="false" customHeight="false" outlineLevel="0" collapsed="false">
      <c r="A90" s="71"/>
      <c r="B90" s="71"/>
      <c r="C90" s="71"/>
      <c r="D90" s="71"/>
      <c r="F90" s="71"/>
    </row>
    <row r="91" customFormat="false" ht="12.8" hidden="false" customHeight="false" outlineLevel="0" collapsed="false">
      <c r="A91" s="71"/>
      <c r="B91" s="71"/>
      <c r="C91" s="71"/>
      <c r="D91" s="71"/>
      <c r="F91" s="71"/>
    </row>
    <row r="92" customFormat="false" ht="12.8" hidden="false" customHeight="false" outlineLevel="0" collapsed="false">
      <c r="A92" s="71"/>
      <c r="B92" s="71"/>
      <c r="C92" s="71"/>
      <c r="D92" s="71"/>
      <c r="F92" s="71"/>
    </row>
    <row r="93" customFormat="false" ht="12.8" hidden="false" customHeight="false" outlineLevel="0" collapsed="false">
      <c r="A93" s="71"/>
      <c r="B93" s="71"/>
      <c r="C93" s="71"/>
      <c r="D93" s="71"/>
      <c r="F93" s="71"/>
    </row>
    <row r="94" customFormat="false" ht="12.8" hidden="false" customHeight="false" outlineLevel="0" collapsed="false">
      <c r="A94" s="71"/>
      <c r="B94" s="71"/>
      <c r="C94" s="71"/>
      <c r="D94" s="71"/>
      <c r="F94" s="71"/>
    </row>
    <row r="95" customFormat="false" ht="12.8" hidden="false" customHeight="false" outlineLevel="0" collapsed="false">
      <c r="A95" s="71"/>
      <c r="B95" s="71"/>
      <c r="C95" s="71"/>
      <c r="D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F99" s="71"/>
    </row>
    <row r="100" customFormat="false" ht="12.8" hidden="false" customHeight="false" outlineLevel="0" collapsed="false">
      <c r="A100" s="138"/>
      <c r="B100" s="138"/>
      <c r="C100" s="138"/>
      <c r="D100" s="138"/>
      <c r="F100" s="138"/>
    </row>
  </sheetData>
  <mergeCells count="33">
    <mergeCell ref="I10:P10"/>
    <mergeCell ref="I12:J12"/>
    <mergeCell ref="I18:J18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36:P36"/>
    <mergeCell ref="I38:J38"/>
    <mergeCell ref="I47:L47"/>
  </mergeCells>
  <dataValidations count="1">
    <dataValidation allowBlank="true" errorStyle="stop" operator="equal" showDropDown="false" showErrorMessage="true" showInputMessage="false" sqref="K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22" t="s">
        <v>90</v>
      </c>
      <c r="B1" s="139" t="s">
        <v>91</v>
      </c>
      <c r="C1" s="139" t="s">
        <v>92</v>
      </c>
      <c r="D1" s="139" t="s">
        <v>93</v>
      </c>
      <c r="E1" s="122"/>
      <c r="F1" s="51"/>
      <c r="G1" s="122"/>
      <c r="H1" s="51"/>
      <c r="I1" s="122"/>
      <c r="J1" s="122" t="s">
        <v>94</v>
      </c>
      <c r="K1" s="51"/>
      <c r="L1" s="140" t="s">
        <v>92</v>
      </c>
      <c r="M1" s="140" t="s">
        <v>93</v>
      </c>
    </row>
    <row r="2" customFormat="false" ht="12.8" hidden="false" customHeight="false" outlineLevel="0" collapsed="false">
      <c r="A2" s="122" t="s">
        <v>95</v>
      </c>
      <c r="B2" s="141" t="n">
        <v>0.3133</v>
      </c>
      <c r="C2" s="141" t="n">
        <v>0.1</v>
      </c>
      <c r="D2" s="141" t="n">
        <v>0.3</v>
      </c>
      <c r="E2" s="122"/>
      <c r="F2" s="51"/>
      <c r="G2" s="122"/>
      <c r="H2" s="51"/>
      <c r="I2" s="122"/>
      <c r="J2" s="51"/>
      <c r="K2" s="122"/>
      <c r="L2" s="142" t="n">
        <v>1</v>
      </c>
      <c r="M2" s="142" t="n">
        <v>1.5</v>
      </c>
    </row>
    <row r="3" customFormat="false" ht="12.8" hidden="false" customHeight="false" outlineLevel="0" collapsed="false">
      <c r="A3" s="122"/>
      <c r="B3" s="143" t="n">
        <v>0.4</v>
      </c>
      <c r="C3" s="143" t="n">
        <v>0.128</v>
      </c>
      <c r="D3" s="143" t="n">
        <v>0.4</v>
      </c>
      <c r="E3" s="122"/>
      <c r="F3" s="51"/>
      <c r="G3" s="122"/>
      <c r="H3" s="51"/>
      <c r="I3" s="122"/>
      <c r="J3" s="51"/>
      <c r="K3" s="122"/>
      <c r="L3" s="142" t="n">
        <v>5</v>
      </c>
      <c r="M3" s="142" t="n">
        <v>4</v>
      </c>
    </row>
    <row r="4" customFormat="false" ht="12.8" hidden="false" customHeight="false" outlineLevel="0" collapsed="false">
      <c r="A4" s="122"/>
      <c r="B4" s="143" t="n">
        <v>0.5</v>
      </c>
      <c r="C4" s="143" t="n">
        <v>0.16</v>
      </c>
      <c r="D4" s="143" t="n">
        <v>0.45</v>
      </c>
      <c r="E4" s="122"/>
      <c r="F4" s="51"/>
      <c r="G4" s="122"/>
      <c r="H4" s="51"/>
      <c r="I4" s="122"/>
      <c r="J4" s="51"/>
      <c r="K4" s="122"/>
      <c r="L4" s="142" t="n">
        <v>10</v>
      </c>
      <c r="M4" s="142" t="n">
        <v>8.9</v>
      </c>
    </row>
    <row r="5" customFormat="false" ht="12.8" hidden="false" customHeight="false" outlineLevel="0" collapsed="false">
      <c r="A5" s="122"/>
      <c r="B5" s="143" t="n">
        <v>0.6</v>
      </c>
      <c r="C5" s="143" t="n">
        <v>0.191</v>
      </c>
      <c r="D5" s="143" t="n">
        <v>0.59</v>
      </c>
      <c r="E5" s="122"/>
      <c r="F5" s="51"/>
      <c r="G5" s="122"/>
      <c r="H5" s="51"/>
      <c r="I5" s="122"/>
      <c r="J5" s="51"/>
      <c r="K5" s="122"/>
      <c r="L5" s="142" t="n">
        <v>15</v>
      </c>
      <c r="M5" s="142" t="n">
        <v>13.3</v>
      </c>
    </row>
    <row r="6" customFormat="false" ht="12.8" hidden="false" customHeight="false" outlineLevel="0" collapsed="false">
      <c r="A6" s="122"/>
      <c r="B6" s="143" t="n">
        <v>0.75</v>
      </c>
      <c r="C6" s="143" t="n">
        <v>0.239</v>
      </c>
      <c r="D6" s="143" t="n">
        <v>0.67</v>
      </c>
      <c r="E6" s="122"/>
      <c r="F6" s="51"/>
      <c r="G6" s="122"/>
      <c r="H6" s="51"/>
      <c r="I6" s="122"/>
      <c r="J6" s="51"/>
      <c r="K6" s="122"/>
      <c r="L6" s="142" t="n">
        <v>20</v>
      </c>
      <c r="M6" s="142" t="n">
        <v>17.5</v>
      </c>
    </row>
    <row r="7" customFormat="false" ht="12.8" hidden="false" customHeight="false" outlineLevel="0" collapsed="false">
      <c r="A7" s="122"/>
      <c r="B7" s="143" t="n">
        <v>0.8</v>
      </c>
      <c r="C7" s="143" t="n">
        <v>0.255</v>
      </c>
      <c r="D7" s="143" t="n">
        <v>0.92</v>
      </c>
      <c r="E7" s="122"/>
      <c r="F7" s="51"/>
      <c r="G7" s="122"/>
      <c r="H7" s="51"/>
      <c r="I7" s="122"/>
      <c r="J7" s="51"/>
      <c r="K7" s="122"/>
      <c r="L7" s="142" t="n">
        <v>30</v>
      </c>
      <c r="M7" s="142" t="n">
        <v>26</v>
      </c>
    </row>
    <row r="8" customFormat="false" ht="12.8" hidden="false" customHeight="false" outlineLevel="0" collapsed="false">
      <c r="A8" s="122"/>
      <c r="B8" s="143" t="n">
        <v>0.9</v>
      </c>
      <c r="C8" s="143" t="n">
        <v>0.287</v>
      </c>
      <c r="D8" s="143" t="n">
        <v>1.14</v>
      </c>
      <c r="E8" s="122"/>
      <c r="F8" s="51"/>
      <c r="G8" s="122"/>
      <c r="H8" s="51"/>
      <c r="I8" s="122"/>
      <c r="J8" s="51"/>
      <c r="K8" s="122"/>
      <c r="L8" s="142" t="n">
        <v>50</v>
      </c>
      <c r="M8" s="142" t="n">
        <v>44</v>
      </c>
    </row>
    <row r="9" customFormat="false" ht="12.8" hidden="false" customHeight="false" outlineLevel="0" collapsed="false">
      <c r="A9" s="122"/>
      <c r="B9" s="143" t="n">
        <v>1</v>
      </c>
      <c r="C9" s="143" t="n">
        <v>0.319</v>
      </c>
      <c r="D9" s="143" t="n">
        <v>1.16</v>
      </c>
      <c r="E9" s="122"/>
      <c r="F9" s="51"/>
      <c r="G9" s="122"/>
      <c r="H9" s="51"/>
      <c r="I9" s="122"/>
      <c r="J9" s="51"/>
      <c r="K9" s="122"/>
      <c r="L9" s="142" t="n">
        <v>80</v>
      </c>
      <c r="M9" s="142" t="n">
        <v>69</v>
      </c>
    </row>
    <row r="10" customFormat="false" ht="12.8" hidden="false" customHeight="false" outlineLevel="0" collapsed="false">
      <c r="A10" s="122"/>
      <c r="B10" s="143" t="n">
        <v>1.25</v>
      </c>
      <c r="C10" s="143" t="n">
        <v>0.399</v>
      </c>
      <c r="D10" s="143" t="n">
        <v>1.35</v>
      </c>
      <c r="E10" s="122"/>
      <c r="F10" s="51"/>
      <c r="G10" s="122"/>
      <c r="H10" s="51"/>
      <c r="I10" s="122"/>
      <c r="J10" s="51"/>
      <c r="K10" s="122"/>
      <c r="L10" s="142" t="n">
        <v>100</v>
      </c>
      <c r="M10" s="142" t="n">
        <v>87</v>
      </c>
    </row>
    <row r="11" customFormat="false" ht="12.8" hidden="false" customHeight="false" outlineLevel="0" collapsed="false">
      <c r="A11" s="122"/>
      <c r="B11" s="143" t="n">
        <v>1.5</v>
      </c>
      <c r="C11" s="143" t="n">
        <v>0.479</v>
      </c>
      <c r="D11" s="143" t="n">
        <v>1.43</v>
      </c>
      <c r="E11" s="122"/>
      <c r="F11" s="51"/>
      <c r="G11" s="122"/>
      <c r="H11" s="51"/>
      <c r="I11" s="122"/>
      <c r="J11" s="51"/>
      <c r="K11" s="122"/>
      <c r="L11" s="142" t="n">
        <v>120</v>
      </c>
      <c r="M11" s="142" t="n">
        <v>104</v>
      </c>
    </row>
    <row r="12" customFormat="false" ht="12.8" hidden="false" customHeight="false" outlineLevel="0" collapsed="false">
      <c r="A12" s="122"/>
      <c r="B12" s="144" t="n">
        <v>1.75</v>
      </c>
      <c r="C12" s="144" t="n">
        <v>0.559</v>
      </c>
      <c r="D12" s="144" t="n">
        <v>1.67</v>
      </c>
      <c r="E12" s="122"/>
      <c r="F12" s="51"/>
      <c r="G12" s="122"/>
      <c r="H12" s="51"/>
      <c r="I12" s="122"/>
      <c r="J12" s="51"/>
      <c r="K12" s="122"/>
      <c r="L12" s="145" t="n">
        <v>200</v>
      </c>
      <c r="M12" s="145" t="n">
        <v>168</v>
      </c>
    </row>
    <row r="13" customFormat="false" ht="12.8" hidden="false" customHeight="false" outlineLevel="0" collapsed="false">
      <c r="A13" s="122"/>
      <c r="B13" s="122"/>
      <c r="C13" s="122"/>
      <c r="D13" s="122"/>
      <c r="E13" s="122"/>
      <c r="F13" s="51"/>
      <c r="G13" s="122"/>
      <c r="H13" s="51"/>
      <c r="I13" s="122"/>
      <c r="J13" s="122"/>
      <c r="K13" s="122"/>
      <c r="L13" s="122"/>
      <c r="M13" s="122"/>
    </row>
    <row r="14" customFormat="false" ht="12.8" hidden="false" customHeight="false" outlineLevel="0" collapsed="false">
      <c r="A14" s="122"/>
      <c r="B14" s="122"/>
      <c r="C14" s="122"/>
      <c r="D14" s="122"/>
      <c r="E14" s="122"/>
      <c r="F14" s="51"/>
      <c r="G14" s="122"/>
      <c r="H14" s="51"/>
      <c r="I14" s="122"/>
      <c r="J14" s="122"/>
      <c r="K14" s="122"/>
      <c r="L14" s="122"/>
      <c r="M14" s="122"/>
    </row>
    <row r="15" customFormat="false" ht="12.8" hidden="false" customHeight="false" outlineLevel="0" collapsed="false">
      <c r="A15" s="122"/>
      <c r="B15" s="122"/>
      <c r="C15" s="122"/>
      <c r="D15" s="122"/>
      <c r="E15" s="122"/>
      <c r="F15" s="51"/>
      <c r="G15" s="122"/>
      <c r="H15" s="51"/>
      <c r="I15" s="122"/>
      <c r="J15" s="122"/>
      <c r="K15" s="122"/>
      <c r="L15" s="122"/>
      <c r="M15" s="122"/>
    </row>
    <row r="16" customFormat="false" ht="12.8" hidden="false" customHeight="false" outlineLevel="0" collapsed="false">
      <c r="A16" s="122"/>
      <c r="B16" s="122"/>
      <c r="C16" s="122"/>
      <c r="D16" s="122"/>
      <c r="E16" s="122"/>
      <c r="F16" s="51"/>
      <c r="G16" s="122"/>
      <c r="H16" s="51"/>
      <c r="I16" s="122"/>
      <c r="J16" s="122"/>
      <c r="K16" s="122"/>
      <c r="L16" s="122"/>
      <c r="M16" s="122"/>
    </row>
    <row r="17" customFormat="false" ht="12.8" hidden="false" customHeight="false" outlineLevel="0" collapsed="false">
      <c r="A17" s="122"/>
      <c r="B17" s="122"/>
      <c r="C17" s="122"/>
      <c r="D17" s="122"/>
      <c r="E17" s="122"/>
      <c r="F17" s="51"/>
      <c r="G17" s="122"/>
      <c r="H17" s="51"/>
      <c r="I17" s="122"/>
      <c r="J17" s="122"/>
      <c r="K17" s="122"/>
      <c r="L17" s="122"/>
      <c r="M17" s="122"/>
    </row>
    <row r="18" customFormat="false" ht="12.8" hidden="false" customHeight="false" outlineLevel="0" collapsed="false">
      <c r="A18" s="122"/>
      <c r="B18" s="122"/>
      <c r="C18" s="122"/>
      <c r="D18" s="122"/>
      <c r="E18" s="122"/>
      <c r="F18" s="51"/>
      <c r="G18" s="122"/>
      <c r="H18" s="51"/>
      <c r="I18" s="122"/>
      <c r="J18" s="122"/>
      <c r="K18" s="122"/>
      <c r="L18" s="122"/>
      <c r="M18" s="122"/>
    </row>
    <row r="19" customFormat="false" ht="12.8" hidden="false" customHeight="false" outlineLevel="0" collapsed="false">
      <c r="A19" s="122"/>
      <c r="B19" s="122"/>
      <c r="C19" s="122"/>
      <c r="D19" s="122"/>
      <c r="E19" s="122"/>
      <c r="F19" s="51"/>
      <c r="G19" s="122"/>
      <c r="H19" s="51"/>
      <c r="I19" s="122"/>
      <c r="J19" s="122"/>
      <c r="K19" s="122"/>
      <c r="L19" s="122"/>
      <c r="M19" s="122"/>
    </row>
    <row r="20" customFormat="false" ht="12.8" hidden="false" customHeight="false" outlineLevel="0" collapsed="false">
      <c r="A20" s="122"/>
      <c r="B20" s="122"/>
      <c r="C20" s="122"/>
      <c r="D20" s="122"/>
      <c r="E20" s="122"/>
      <c r="F20" s="51"/>
      <c r="G20" s="122"/>
      <c r="H20" s="51"/>
      <c r="I20" s="122"/>
      <c r="J20" s="122"/>
      <c r="K20" s="122"/>
      <c r="L20" s="122"/>
      <c r="M20" s="122"/>
    </row>
    <row r="21" customFormat="false" ht="12.8" hidden="false" customHeight="false" outlineLevel="0" collapsed="false">
      <c r="A21" s="122"/>
      <c r="B21" s="122"/>
      <c r="C21" s="122"/>
      <c r="D21" s="122"/>
      <c r="E21" s="122"/>
      <c r="F21" s="51"/>
      <c r="G21" s="122"/>
      <c r="H21" s="51"/>
      <c r="I21" s="122"/>
      <c r="J21" s="122"/>
      <c r="K21" s="122"/>
      <c r="L21" s="122"/>
      <c r="M21" s="122"/>
    </row>
    <row r="22" customFormat="false" ht="12.8" hidden="false" customHeight="false" outlineLevel="0" collapsed="false">
      <c r="A22" s="51"/>
      <c r="B22" s="51"/>
      <c r="C22" s="51"/>
      <c r="D22" s="51"/>
      <c r="E22" s="122"/>
      <c r="F22" s="51"/>
      <c r="G22" s="122"/>
      <c r="H22" s="51"/>
      <c r="I22" s="122"/>
      <c r="J22" s="51"/>
      <c r="K22" s="51"/>
      <c r="L22" s="51"/>
      <c r="M22" s="51"/>
    </row>
    <row r="23" customFormat="false" ht="12.8" hidden="false" customHeight="false" outlineLevel="0" collapsed="false">
      <c r="A23" s="51"/>
      <c r="B23" s="51"/>
      <c r="C23" s="51"/>
      <c r="D23" s="51"/>
      <c r="E23" s="122"/>
      <c r="F23" s="51"/>
      <c r="G23" s="122"/>
      <c r="H23" s="51"/>
      <c r="I23" s="122"/>
      <c r="J23" s="51"/>
      <c r="K23" s="51"/>
      <c r="L23" s="51"/>
      <c r="M23" s="51"/>
    </row>
    <row r="24" customFormat="false" ht="12.8" hidden="false" customHeight="false" outlineLevel="0" collapsed="false">
      <c r="A24" s="51"/>
      <c r="B24" s="51"/>
      <c r="C24" s="51"/>
      <c r="D24" s="51"/>
      <c r="E24" s="122"/>
      <c r="F24" s="51"/>
      <c r="G24" s="122"/>
      <c r="H24" s="51"/>
      <c r="I24" s="122"/>
    </row>
    <row r="25" customFormat="false" ht="12.8" hidden="false" customHeight="false" outlineLevel="0" collapsed="false">
      <c r="A25" s="122" t="s">
        <v>96</v>
      </c>
      <c r="B25" s="140" t="s">
        <v>91</v>
      </c>
      <c r="C25" s="140" t="s">
        <v>92</v>
      </c>
      <c r="D25" s="140" t="s">
        <v>93</v>
      </c>
      <c r="E25" s="122"/>
      <c r="F25" s="51"/>
      <c r="G25" s="122"/>
      <c r="H25" s="51"/>
      <c r="I25" s="122"/>
      <c r="J25" s="122" t="s">
        <v>97</v>
      </c>
      <c r="K25" s="140" t="s">
        <v>91</v>
      </c>
      <c r="L25" s="140" t="s">
        <v>92</v>
      </c>
      <c r="M25" s="140" t="s">
        <v>93</v>
      </c>
    </row>
    <row r="26" customFormat="false" ht="12.8" hidden="false" customHeight="false" outlineLevel="0" collapsed="false">
      <c r="A26" s="122" t="s">
        <v>98</v>
      </c>
      <c r="B26" s="142"/>
      <c r="C26" s="142"/>
      <c r="D26" s="142"/>
      <c r="E26" s="122"/>
      <c r="F26" s="51"/>
      <c r="G26" s="122"/>
      <c r="H26" s="51"/>
      <c r="I26" s="122"/>
      <c r="J26" s="122" t="s">
        <v>99</v>
      </c>
      <c r="K26" s="142"/>
      <c r="L26" s="142"/>
      <c r="M26" s="142"/>
    </row>
    <row r="27" customFormat="false" ht="12.8" hidden="false" customHeight="false" outlineLevel="0" collapsed="false">
      <c r="A27" s="122"/>
      <c r="B27" s="142"/>
      <c r="C27" s="142"/>
      <c r="D27" s="142"/>
      <c r="E27" s="122"/>
      <c r="F27" s="51"/>
      <c r="G27" s="122"/>
      <c r="H27" s="51"/>
      <c r="I27" s="122"/>
      <c r="J27" s="122" t="s">
        <v>100</v>
      </c>
      <c r="K27" s="142"/>
      <c r="L27" s="142"/>
      <c r="M27" s="142"/>
    </row>
    <row r="28" customFormat="false" ht="12.8" hidden="false" customHeight="false" outlineLevel="0" collapsed="false">
      <c r="A28" s="122"/>
      <c r="B28" s="142"/>
      <c r="C28" s="142"/>
      <c r="D28" s="142"/>
      <c r="E28" s="122"/>
      <c r="F28" s="51"/>
      <c r="G28" s="122"/>
      <c r="H28" s="51"/>
      <c r="I28" s="122"/>
      <c r="J28" s="122"/>
      <c r="K28" s="142"/>
      <c r="L28" s="142"/>
      <c r="M28" s="142"/>
    </row>
    <row r="29" customFormat="false" ht="12.8" hidden="false" customHeight="false" outlineLevel="0" collapsed="false">
      <c r="A29" s="122"/>
      <c r="B29" s="142"/>
      <c r="C29" s="142"/>
      <c r="D29" s="142"/>
      <c r="E29" s="122"/>
      <c r="F29" s="51"/>
      <c r="G29" s="122"/>
      <c r="H29" s="51"/>
      <c r="I29" s="122"/>
      <c r="J29" s="122"/>
      <c r="K29" s="142"/>
      <c r="L29" s="142"/>
      <c r="M29" s="142"/>
    </row>
    <row r="30" customFormat="false" ht="12.8" hidden="false" customHeight="false" outlineLevel="0" collapsed="false">
      <c r="A30" s="122"/>
      <c r="B30" s="142"/>
      <c r="C30" s="142"/>
      <c r="D30" s="142"/>
      <c r="E30" s="122"/>
      <c r="F30" s="51"/>
      <c r="G30" s="122"/>
      <c r="H30" s="51"/>
      <c r="I30" s="122"/>
      <c r="J30" s="122"/>
      <c r="K30" s="142"/>
      <c r="L30" s="142"/>
      <c r="M30" s="142"/>
    </row>
    <row r="31" customFormat="false" ht="12.8" hidden="false" customHeight="false" outlineLevel="0" collapsed="false">
      <c r="A31" s="122"/>
      <c r="B31" s="142"/>
      <c r="C31" s="142"/>
      <c r="D31" s="142"/>
      <c r="E31" s="122"/>
      <c r="F31" s="51"/>
      <c r="G31" s="122"/>
      <c r="H31" s="51"/>
      <c r="I31" s="122"/>
      <c r="J31" s="122"/>
      <c r="K31" s="142"/>
      <c r="L31" s="142"/>
      <c r="M31" s="142"/>
    </row>
    <row r="32" customFormat="false" ht="12.8" hidden="false" customHeight="false" outlineLevel="0" collapsed="false">
      <c r="A32" s="122"/>
      <c r="B32" s="142"/>
      <c r="C32" s="142"/>
      <c r="D32" s="142"/>
      <c r="E32" s="122"/>
      <c r="F32" s="51"/>
      <c r="G32" s="122"/>
      <c r="H32" s="51"/>
      <c r="I32" s="122"/>
      <c r="J32" s="122"/>
      <c r="K32" s="142"/>
      <c r="L32" s="142"/>
      <c r="M32" s="142"/>
    </row>
    <row r="33" customFormat="false" ht="12.8" hidden="false" customHeight="false" outlineLevel="0" collapsed="false">
      <c r="A33" s="122"/>
      <c r="B33" s="142"/>
      <c r="C33" s="142"/>
      <c r="D33" s="142"/>
      <c r="E33" s="122"/>
      <c r="F33" s="51"/>
      <c r="G33" s="122"/>
      <c r="H33" s="51"/>
      <c r="I33" s="122"/>
      <c r="J33" s="122"/>
      <c r="K33" s="142"/>
      <c r="L33" s="142"/>
      <c r="M33" s="142"/>
    </row>
    <row r="34" customFormat="false" ht="12.8" hidden="false" customHeight="false" outlineLevel="0" collapsed="false">
      <c r="A34" s="122"/>
      <c r="B34" s="142"/>
      <c r="C34" s="142"/>
      <c r="D34" s="142"/>
      <c r="E34" s="122"/>
      <c r="F34" s="51"/>
      <c r="G34" s="122"/>
      <c r="H34" s="51"/>
      <c r="I34" s="122"/>
      <c r="J34" s="122"/>
      <c r="K34" s="142"/>
      <c r="L34" s="142"/>
      <c r="M34" s="142"/>
    </row>
    <row r="35" customFormat="false" ht="12.8" hidden="false" customHeight="false" outlineLevel="0" collapsed="false">
      <c r="A35" s="122"/>
      <c r="B35" s="142"/>
      <c r="C35" s="142"/>
      <c r="D35" s="142"/>
      <c r="E35" s="122"/>
      <c r="F35" s="51"/>
      <c r="G35" s="122"/>
      <c r="H35" s="51"/>
      <c r="I35" s="122"/>
      <c r="J35" s="122"/>
      <c r="K35" s="142"/>
      <c r="L35" s="142"/>
      <c r="M35" s="142"/>
    </row>
    <row r="36" customFormat="false" ht="12.8" hidden="false" customHeight="false" outlineLevel="0" collapsed="false">
      <c r="A36" s="122"/>
      <c r="B36" s="145"/>
      <c r="C36" s="145"/>
      <c r="D36" s="145"/>
      <c r="E36" s="122"/>
      <c r="F36" s="51"/>
      <c r="G36" s="122"/>
      <c r="H36" s="51"/>
      <c r="I36" s="122"/>
      <c r="J36" s="122"/>
      <c r="K36" s="145"/>
      <c r="L36" s="145"/>
      <c r="M36" s="145"/>
    </row>
    <row r="37" customFormat="false" ht="12.8" hidden="false" customHeight="false" outlineLevel="0" collapsed="false">
      <c r="A37" s="122"/>
      <c r="B37" s="122"/>
      <c r="C37" s="122"/>
      <c r="D37" s="122"/>
      <c r="E37" s="122"/>
      <c r="F37" s="51"/>
      <c r="G37" s="122"/>
      <c r="H37" s="51"/>
      <c r="I37" s="122"/>
      <c r="J37" s="122"/>
      <c r="K37" s="122"/>
      <c r="L37" s="122"/>
      <c r="M37" s="122"/>
      <c r="N37" s="122"/>
      <c r="O37" s="122"/>
    </row>
    <row r="38" customFormat="false" ht="12.8" hidden="false" customHeight="false" outlineLevel="0" collapsed="false">
      <c r="A38" s="122"/>
      <c r="B38" s="122"/>
      <c r="C38" s="122"/>
      <c r="D38" s="122"/>
      <c r="E38" s="122"/>
      <c r="F38" s="51"/>
      <c r="G38" s="122"/>
      <c r="H38" s="51"/>
      <c r="I38" s="122"/>
      <c r="J38" s="122"/>
      <c r="K38" s="122"/>
      <c r="L38" s="122"/>
      <c r="M38" s="122"/>
      <c r="N38" s="122"/>
      <c r="O38" s="122"/>
    </row>
    <row r="39" customFormat="false" ht="12.8" hidden="false" customHeight="false" outlineLevel="0" collapsed="false">
      <c r="A39" s="146"/>
      <c r="B39" s="146"/>
      <c r="C39" s="146"/>
      <c r="D39" s="146"/>
      <c r="E39" s="146"/>
      <c r="G39" s="146"/>
      <c r="I39" s="146"/>
      <c r="J39" s="146"/>
      <c r="K39" s="146"/>
      <c r="L39" s="146"/>
      <c r="M39" s="146"/>
      <c r="N39" s="146"/>
      <c r="O39" s="146"/>
    </row>
    <row r="40" customFormat="false" ht="12.8" hidden="false" customHeight="false" outlineLevel="0" collapsed="false">
      <c r="A40" s="146"/>
      <c r="B40" s="146"/>
      <c r="C40" s="146"/>
      <c r="D40" s="146"/>
      <c r="E40" s="146"/>
      <c r="G40" s="146"/>
      <c r="I40" s="146"/>
      <c r="J40" s="146"/>
      <c r="K40" s="146"/>
      <c r="L40" s="146"/>
      <c r="M40" s="146"/>
      <c r="N40" s="146"/>
      <c r="O40" s="146"/>
    </row>
    <row r="41" customFormat="false" ht="12.8" hidden="false" customHeight="false" outlineLevel="0" collapsed="false">
      <c r="A41" s="146"/>
      <c r="B41" s="146"/>
      <c r="C41" s="146"/>
      <c r="D41" s="146"/>
      <c r="E41" s="146"/>
      <c r="G41" s="146"/>
      <c r="I41" s="146"/>
      <c r="J41" s="146"/>
      <c r="K41" s="146"/>
      <c r="L41" s="146"/>
      <c r="M41" s="146"/>
      <c r="N41" s="146"/>
      <c r="O41" s="146"/>
    </row>
    <row r="42" customFormat="false" ht="12.8" hidden="false" customHeight="false" outlineLevel="0" collapsed="false">
      <c r="A42" s="146"/>
      <c r="B42" s="146"/>
      <c r="C42" s="146"/>
      <c r="D42" s="146"/>
      <c r="E42" s="146"/>
      <c r="G42" s="146"/>
      <c r="I42" s="146"/>
      <c r="J42" s="146"/>
      <c r="K42" s="146"/>
      <c r="L42" s="146"/>
      <c r="M42" s="146"/>
      <c r="N42" s="146"/>
      <c r="O42" s="146"/>
    </row>
    <row r="43" customFormat="false" ht="12.8" hidden="false" customHeight="false" outlineLevel="0" collapsed="false">
      <c r="A43" s="146"/>
      <c r="B43" s="146"/>
      <c r="C43" s="146"/>
      <c r="D43" s="146"/>
      <c r="E43" s="146"/>
      <c r="G43" s="146"/>
      <c r="I43" s="146"/>
      <c r="J43" s="146"/>
      <c r="K43" s="146"/>
      <c r="L43" s="146"/>
      <c r="M43" s="146"/>
      <c r="N43" s="146"/>
      <c r="O43" s="146"/>
    </row>
    <row r="44" customFormat="false" ht="12.8" hidden="false" customHeight="false" outlineLevel="0" collapsed="false">
      <c r="A44" s="146"/>
      <c r="B44" s="146"/>
      <c r="C44" s="146"/>
      <c r="D44" s="146"/>
      <c r="E44" s="146"/>
      <c r="G44" s="146"/>
      <c r="I44" s="146"/>
      <c r="J44" s="146"/>
      <c r="K44" s="146"/>
      <c r="L44" s="146"/>
      <c r="M44" s="146"/>
      <c r="N44" s="146"/>
      <c r="O44" s="146"/>
    </row>
    <row r="45" customFormat="false" ht="12.8" hidden="false" customHeight="false" outlineLevel="0" collapsed="false">
      <c r="A45" s="146"/>
      <c r="B45" s="146"/>
      <c r="C45" s="146"/>
      <c r="D45" s="146"/>
      <c r="E45" s="146"/>
      <c r="G45" s="146"/>
      <c r="I45" s="146"/>
      <c r="J45" s="146"/>
      <c r="K45" s="146"/>
      <c r="L45" s="146"/>
      <c r="M45" s="146"/>
      <c r="N45" s="146"/>
      <c r="O45" s="146"/>
    </row>
    <row r="46" customFormat="false" ht="12.8" hidden="false" customHeight="false" outlineLevel="0" collapsed="false">
      <c r="A46" s="146"/>
      <c r="B46" s="146"/>
      <c r="C46" s="146"/>
      <c r="D46" s="146"/>
      <c r="E46" s="146"/>
      <c r="G46" s="146"/>
      <c r="I46" s="146"/>
      <c r="J46" s="146"/>
      <c r="K46" s="146"/>
      <c r="L46" s="146"/>
      <c r="M46" s="146"/>
      <c r="N46" s="146"/>
      <c r="O46" s="146"/>
    </row>
    <row r="47" customFormat="false" ht="12.8" hidden="false" customHeight="false" outlineLevel="0" collapsed="false">
      <c r="A47" s="146"/>
      <c r="B47" s="146"/>
      <c r="C47" s="146"/>
      <c r="D47" s="146"/>
      <c r="E47" s="146"/>
      <c r="G47" s="146"/>
      <c r="I47" s="146"/>
      <c r="J47" s="146"/>
      <c r="K47" s="146"/>
      <c r="L47" s="146"/>
      <c r="M47" s="146"/>
      <c r="N47" s="146"/>
      <c r="O47" s="146"/>
    </row>
    <row r="48" customFormat="false" ht="12.8" hidden="false" customHeight="false" outlineLevel="0" collapsed="false">
      <c r="A48" s="146"/>
      <c r="B48" s="146"/>
      <c r="C48" s="146"/>
      <c r="D48" s="146"/>
      <c r="E48" s="146"/>
      <c r="G48" s="146"/>
      <c r="I48" s="146"/>
      <c r="J48" s="146"/>
      <c r="K48" s="146"/>
      <c r="L48" s="146"/>
      <c r="M48" s="146"/>
      <c r="N48" s="146"/>
      <c r="O48" s="146"/>
    </row>
    <row r="49" customFormat="false" ht="12.8" hidden="false" customHeight="false" outlineLevel="0" collapsed="false">
      <c r="A49" s="146"/>
      <c r="B49" s="146"/>
      <c r="C49" s="146"/>
      <c r="D49" s="146"/>
      <c r="E49" s="146"/>
      <c r="G49" s="146"/>
      <c r="I49" s="146"/>
      <c r="J49" s="146"/>
      <c r="K49" s="146"/>
      <c r="L49" s="146"/>
      <c r="M49" s="146"/>
      <c r="N49" s="146"/>
      <c r="O49" s="146"/>
    </row>
    <row r="50" customFormat="false" ht="12.8" hidden="false" customHeight="false" outlineLevel="0" collapsed="false">
      <c r="A50" s="146"/>
      <c r="B50" s="146"/>
      <c r="C50" s="146"/>
      <c r="D50" s="146"/>
      <c r="E50" s="146"/>
      <c r="G50" s="146"/>
      <c r="I50" s="146"/>
      <c r="J50" s="146"/>
      <c r="K50" s="146"/>
      <c r="L50" s="146"/>
      <c r="M50" s="146"/>
      <c r="N50" s="146"/>
      <c r="O50" s="146"/>
    </row>
    <row r="51" customFormat="false" ht="12.8" hidden="false" customHeight="false" outlineLevel="0" collapsed="false">
      <c r="A51" s="146"/>
      <c r="B51" s="146"/>
      <c r="C51" s="146"/>
      <c r="D51" s="146"/>
      <c r="E51" s="146"/>
      <c r="G51" s="146"/>
      <c r="I51" s="146"/>
      <c r="J51" s="146"/>
      <c r="K51" s="146"/>
      <c r="L51" s="146"/>
      <c r="M51" s="146"/>
      <c r="N51" s="146"/>
      <c r="O51" s="146"/>
    </row>
    <row r="52" customFormat="false" ht="12.8" hidden="false" customHeight="false" outlineLevel="0" collapsed="false">
      <c r="A52" s="146"/>
      <c r="B52" s="146"/>
      <c r="C52" s="146"/>
      <c r="D52" s="146"/>
      <c r="E52" s="146"/>
      <c r="G52" s="146"/>
      <c r="I52" s="146"/>
      <c r="J52" s="146"/>
      <c r="K52" s="146"/>
      <c r="L52" s="146"/>
      <c r="M52" s="146"/>
      <c r="N52" s="146"/>
      <c r="O52" s="146"/>
    </row>
    <row r="53" customFormat="false" ht="12.8" hidden="false" customHeight="false" outlineLevel="0" collapsed="false">
      <c r="C53" s="122"/>
      <c r="D53" s="122"/>
      <c r="E53" s="122"/>
      <c r="F53" s="51"/>
      <c r="G53" s="51"/>
      <c r="H53" s="140" t="s">
        <v>101</v>
      </c>
      <c r="I53" s="140"/>
      <c r="J53" s="140"/>
      <c r="K53" s="140"/>
      <c r="L53" s="140"/>
      <c r="M53" s="146"/>
      <c r="N53" s="146"/>
      <c r="O53" s="146"/>
    </row>
    <row r="54" customFormat="false" ht="12.8" hidden="false" customHeight="false" outlineLevel="0" collapsed="false">
      <c r="C54" s="122"/>
      <c r="D54" s="122"/>
      <c r="E54" s="140" t="s">
        <v>102</v>
      </c>
      <c r="F54" s="140"/>
      <c r="G54" s="51"/>
      <c r="H54" s="140" t="s">
        <v>103</v>
      </c>
      <c r="I54" s="140"/>
      <c r="J54" s="51"/>
      <c r="K54" s="140" t="s">
        <v>104</v>
      </c>
      <c r="L54" s="140"/>
      <c r="M54" s="146"/>
      <c r="N54" s="146"/>
      <c r="O54" s="146"/>
    </row>
    <row r="55" customFormat="false" ht="12.8" hidden="false" customHeight="false" outlineLevel="0" collapsed="false">
      <c r="A55" s="147" t="s">
        <v>105</v>
      </c>
      <c r="B55" s="148" t="n">
        <v>1</v>
      </c>
      <c r="C55" s="122"/>
      <c r="D55" s="147" t="s">
        <v>106</v>
      </c>
      <c r="E55" s="149" t="n">
        <v>30</v>
      </c>
      <c r="F55" s="150"/>
      <c r="G55" s="92"/>
      <c r="H55" s="149" t="n">
        <v>3</v>
      </c>
      <c r="I55" s="151"/>
      <c r="J55" s="152"/>
      <c r="K55" s="153" t="n">
        <v>12</v>
      </c>
      <c r="L55" s="154"/>
      <c r="M55" s="146"/>
      <c r="N55" s="146"/>
      <c r="O55" s="146"/>
    </row>
    <row r="56" customFormat="false" ht="12.8" hidden="false" customHeight="false" outlineLevel="0" collapsed="false">
      <c r="A56" s="145" t="s">
        <v>107</v>
      </c>
      <c r="B56" s="155" t="n">
        <v>4</v>
      </c>
      <c r="C56" s="122"/>
      <c r="D56" s="142" t="s">
        <v>93</v>
      </c>
      <c r="E56" s="149" t="n">
        <v>1000</v>
      </c>
      <c r="F56" s="151"/>
      <c r="G56" s="92"/>
      <c r="H56" s="149" t="n">
        <v>1000</v>
      </c>
      <c r="I56" s="151"/>
      <c r="J56" s="152"/>
      <c r="K56" s="149" t="n">
        <v>4000</v>
      </c>
      <c r="L56" s="156"/>
      <c r="M56" s="146"/>
      <c r="N56" s="146"/>
      <c r="O56" s="146"/>
    </row>
    <row r="57" customFormat="false" ht="12.8" hidden="false" customHeight="false" outlineLevel="0" collapsed="false">
      <c r="A57" s="122"/>
      <c r="B57" s="122"/>
      <c r="C57" s="122"/>
      <c r="D57" s="142" t="s">
        <v>108</v>
      </c>
      <c r="E57" s="149" t="n">
        <f aca="false">E56/E55</f>
        <v>33.3333333333333</v>
      </c>
      <c r="F57" s="151"/>
      <c r="G57" s="92"/>
      <c r="H57" s="149" t="n">
        <f aca="false">H56/H55</f>
        <v>333.333333333333</v>
      </c>
      <c r="I57" s="151"/>
      <c r="J57" s="152"/>
      <c r="K57" s="149" t="n">
        <f aca="false">K56/K55</f>
        <v>333.333333333333</v>
      </c>
      <c r="L57" s="156"/>
      <c r="M57" s="146"/>
      <c r="N57" s="146"/>
      <c r="O57" s="146"/>
    </row>
    <row r="58" customFormat="false" ht="12.8" hidden="false" customHeight="false" outlineLevel="0" collapsed="false">
      <c r="A58" s="122"/>
      <c r="B58" s="122"/>
      <c r="C58" s="122"/>
      <c r="D58" s="142" t="s">
        <v>109</v>
      </c>
      <c r="E58" s="149" t="n">
        <f aca="false">E57/$B$55</f>
        <v>33.3333333333333</v>
      </c>
      <c r="F58" s="151"/>
      <c r="G58" s="92"/>
      <c r="H58" s="149" t="n">
        <f aca="false">H57/$B$55</f>
        <v>333.333333333333</v>
      </c>
      <c r="I58" s="151"/>
      <c r="J58" s="92"/>
      <c r="K58" s="149" t="n">
        <f aca="false">K57/$B$55</f>
        <v>333.333333333333</v>
      </c>
      <c r="L58" s="156"/>
      <c r="M58" s="146"/>
      <c r="N58" s="146"/>
      <c r="O58" s="146"/>
    </row>
    <row r="59" customFormat="false" ht="12.8" hidden="false" customHeight="false" outlineLevel="0" collapsed="false">
      <c r="A59" s="122"/>
      <c r="B59" s="122"/>
      <c r="C59" s="122"/>
      <c r="D59" s="145" t="s">
        <v>110</v>
      </c>
      <c r="E59" s="149" t="n">
        <f aca="false">E58/$B$56</f>
        <v>8.33333333333333</v>
      </c>
      <c r="F59" s="151"/>
      <c r="G59" s="92"/>
      <c r="H59" s="149" t="n">
        <f aca="false">H58/$B$56</f>
        <v>83.3333333333333</v>
      </c>
      <c r="I59" s="151"/>
      <c r="J59" s="152"/>
      <c r="K59" s="149" t="n">
        <f aca="false">K58/($B$56*2)</f>
        <v>41.6666666666667</v>
      </c>
      <c r="L59" s="156"/>
      <c r="O59" s="146"/>
    </row>
    <row r="60" customFormat="false" ht="12.8" hidden="false" customHeight="false" outlineLevel="0" collapsed="false">
      <c r="A60" s="122"/>
      <c r="B60" s="122"/>
      <c r="C60" s="122"/>
      <c r="D60" s="157" t="s">
        <v>111</v>
      </c>
      <c r="E60" s="153" t="n">
        <f aca="false" t="array" ref="E60:F60">LINEST(C2:C12,D2:D12)</f>
        <v>0.305306543235851</v>
      </c>
      <c r="F60" s="154" t="n">
        <v>0.00350091310751105</v>
      </c>
      <c r="G60" s="93"/>
      <c r="H60" s="153" t="e">
        <f aca="false" t="array" ref="H60:I60">LINEST(C26:C36,D26:D36)</f>
        <v>#VALUE!</v>
      </c>
      <c r="I60" s="154" t="e">
        <v>#VALUE!</v>
      </c>
      <c r="J60" s="158"/>
      <c r="K60" s="153" t="e">
        <f aca="false" t="array" ref="K60:L60">LINEST(L26:L36,M26:M36)</f>
        <v>#VALUE!</v>
      </c>
      <c r="L60" s="154" t="e">
        <v>#VALUE!</v>
      </c>
      <c r="N60" s="146"/>
      <c r="O60" s="146"/>
    </row>
    <row r="61" customFormat="false" ht="12.8" hidden="false" customHeight="false" outlineLevel="0" collapsed="false">
      <c r="A61" s="122"/>
      <c r="B61" s="122"/>
      <c r="C61" s="122"/>
      <c r="D61" s="121" t="s">
        <v>92</v>
      </c>
      <c r="E61" s="149" t="n">
        <f aca="false">(E59*E60)+F60</f>
        <v>2.5477221067396</v>
      </c>
      <c r="F61" s="151"/>
      <c r="G61" s="152"/>
      <c r="H61" s="149" t="e">
        <f aca="false">(H59*H60)+I60</f>
        <v>#VALUE!</v>
      </c>
      <c r="I61" s="156"/>
      <c r="J61" s="92"/>
      <c r="K61" s="149" t="e">
        <f aca="false">(K59*K60)+L60</f>
        <v>#VALUE!</v>
      </c>
      <c r="L61" s="156"/>
      <c r="M61" s="146"/>
      <c r="N61" s="146"/>
      <c r="O61" s="146"/>
    </row>
    <row r="62" customFormat="false" ht="12.8" hidden="false" customHeight="false" outlineLevel="0" collapsed="false">
      <c r="A62" s="51"/>
      <c r="B62" s="51"/>
      <c r="C62" s="122"/>
      <c r="D62" s="121" t="s">
        <v>112</v>
      </c>
      <c r="E62" s="149" t="n">
        <f aca="false" t="array" ref="E62:F62">LINEST(B2:B12,C2:C12)</f>
        <v>3.13108183713084</v>
      </c>
      <c r="F62" s="156" t="n">
        <v>0.000622635954573363</v>
      </c>
      <c r="G62" s="152"/>
      <c r="H62" s="149" t="e">
        <f aca="false" t="array" ref="H62:I62">LINEST(B26:B36,C26:C36)</f>
        <v>#VALUE!</v>
      </c>
      <c r="I62" s="156" t="e">
        <v>#VALUE!</v>
      </c>
      <c r="J62" s="92"/>
      <c r="K62" s="90" t="e">
        <f aca="false" t="array" ref="K62:L62">LINEST(K26:K36,L26:L36)</f>
        <v>#VALUE!</v>
      </c>
      <c r="L62" s="156" t="e">
        <v>#VALUE!</v>
      </c>
      <c r="M62" s="146"/>
    </row>
    <row r="63" customFormat="false" ht="12.8" hidden="false" customHeight="false" outlineLevel="0" collapsed="false">
      <c r="A63" s="51"/>
      <c r="B63" s="51"/>
      <c r="C63" s="122"/>
      <c r="D63" s="159" t="s">
        <v>91</v>
      </c>
      <c r="E63" s="160" t="n">
        <f aca="false">(E62*E61)+F62</f>
        <v>7.97774905042366</v>
      </c>
      <c r="F63" s="101"/>
      <c r="G63" s="158"/>
      <c r="H63" s="160" t="e">
        <f aca="false">(H62*H61)+I62</f>
        <v>#VALUE!</v>
      </c>
      <c r="I63" s="161"/>
      <c r="J63" s="93"/>
      <c r="K63" s="160" t="e">
        <f aca="false">(K62*K61)+L62</f>
        <v>#VALUE!</v>
      </c>
      <c r="L63" s="161"/>
      <c r="M63" s="146"/>
      <c r="O63" s="146"/>
    </row>
    <row r="64" customFormat="false" ht="12.8" hidden="false" customHeight="false" outlineLevel="0" collapsed="false">
      <c r="A64" s="122"/>
      <c r="B64" s="122"/>
      <c r="C64" s="122"/>
      <c r="M64" s="146"/>
      <c r="O64" s="146"/>
    </row>
    <row r="65" customFormat="false" ht="12.8" hidden="false" customHeight="false" outlineLevel="0" collapsed="false">
      <c r="A65" s="146"/>
      <c r="B65" s="146"/>
      <c r="C65" s="146"/>
      <c r="G65" s="146"/>
      <c r="I65" s="146"/>
      <c r="K65" s="146"/>
      <c r="L65" s="146"/>
      <c r="M65" s="146"/>
      <c r="O65" s="146"/>
    </row>
    <row r="66" customFormat="false" ht="12.8" hidden="false" customHeight="false" outlineLevel="0" collapsed="false">
      <c r="A66" s="146"/>
      <c r="B66" s="146"/>
      <c r="C66" s="146"/>
      <c r="D66" s="146"/>
      <c r="G66" s="146"/>
      <c r="I66" s="146"/>
      <c r="K66" s="146"/>
      <c r="L66" s="146"/>
      <c r="M66" s="146"/>
      <c r="O66" s="146"/>
    </row>
    <row r="67" customFormat="false" ht="12.8" hidden="false" customHeight="false" outlineLevel="0" collapsed="false">
      <c r="A67" s="146"/>
      <c r="B67" s="146"/>
      <c r="C67" s="146"/>
      <c r="D67" s="146"/>
      <c r="E67" s="146"/>
      <c r="G67" s="146"/>
      <c r="I67" s="146"/>
      <c r="J67" s="146"/>
      <c r="K67" s="146"/>
      <c r="L67" s="146"/>
      <c r="M67" s="146"/>
      <c r="N67" s="146"/>
      <c r="O67" s="146"/>
    </row>
    <row r="68" customFormat="false" ht="12.8" hidden="false" customHeight="false" outlineLevel="0" collapsed="false">
      <c r="A68" s="146"/>
      <c r="B68" s="146"/>
      <c r="C68" s="146"/>
      <c r="D68" s="146"/>
      <c r="E68" s="146"/>
      <c r="G68" s="146"/>
      <c r="I68" s="146"/>
      <c r="J68" s="146"/>
      <c r="K68" s="146"/>
      <c r="L68" s="146"/>
      <c r="M68" s="146"/>
      <c r="N68" s="146"/>
      <c r="O68" s="146"/>
    </row>
    <row r="69" customFormat="false" ht="12.8" hidden="false" customHeight="false" outlineLevel="0" collapsed="false">
      <c r="A69" s="146"/>
      <c r="B69" s="146"/>
      <c r="C69" s="146"/>
      <c r="D69" s="146"/>
      <c r="I69" s="146"/>
      <c r="L69" s="146"/>
      <c r="M69" s="146"/>
    </row>
    <row r="70" customFormat="false" ht="12.8" hidden="false" customHeight="false" outlineLevel="0" collapsed="false">
      <c r="A70" s="146"/>
      <c r="B70" s="146"/>
      <c r="C70" s="146"/>
      <c r="D70" s="146"/>
      <c r="E70" s="146"/>
      <c r="G70" s="146"/>
      <c r="I70" s="146"/>
      <c r="J70" s="146"/>
      <c r="K70" s="146"/>
      <c r="L70" s="146"/>
      <c r="M70" s="146"/>
      <c r="N70" s="146"/>
      <c r="O70" s="146"/>
    </row>
    <row r="71" customFormat="false" ht="12.8" hidden="false" customHeight="false" outlineLevel="0" collapsed="false">
      <c r="A71" s="146"/>
      <c r="B71" s="146"/>
      <c r="C71" s="146"/>
      <c r="D71" s="146"/>
      <c r="E71" s="146"/>
      <c r="G71" s="146"/>
      <c r="I71" s="146"/>
      <c r="J71" s="146"/>
      <c r="K71" s="146"/>
      <c r="L71" s="146"/>
      <c r="M71" s="146"/>
      <c r="N71" s="146"/>
      <c r="O71" s="146"/>
    </row>
    <row r="72" customFormat="false" ht="12.8" hidden="false" customHeight="false" outlineLevel="0" collapsed="false">
      <c r="A72" s="146"/>
      <c r="B72" s="146"/>
      <c r="C72" s="146"/>
      <c r="D72" s="146"/>
      <c r="G72" s="146"/>
      <c r="I72" s="146"/>
      <c r="K72" s="146"/>
      <c r="L72" s="146"/>
      <c r="M72" s="146"/>
      <c r="O72" s="146"/>
    </row>
    <row r="73" customFormat="false" ht="12.8" hidden="false" customHeight="false" outlineLevel="0" collapsed="false">
      <c r="A73" s="146"/>
      <c r="B73" s="146"/>
      <c r="C73" s="146"/>
      <c r="D73" s="146"/>
      <c r="E73" s="146"/>
      <c r="G73" s="146"/>
      <c r="I73" s="146"/>
      <c r="J73" s="146"/>
      <c r="K73" s="146"/>
      <c r="L73" s="146"/>
      <c r="M73" s="146"/>
      <c r="N73" s="146"/>
      <c r="O73" s="146"/>
    </row>
    <row r="74" customFormat="false" ht="12.8" hidden="false" customHeight="false" outlineLevel="0" collapsed="false">
      <c r="A74" s="146"/>
      <c r="B74" s="146"/>
      <c r="C74" s="146"/>
      <c r="D74" s="146"/>
      <c r="E74" s="146"/>
      <c r="G74" s="146"/>
      <c r="I74" s="146"/>
      <c r="J74" s="146"/>
      <c r="K74" s="146"/>
      <c r="L74" s="146"/>
      <c r="M74" s="146"/>
      <c r="N74" s="146"/>
      <c r="O74" s="146"/>
    </row>
    <row r="75" customFormat="false" ht="12.8" hidden="false" customHeight="false" outlineLevel="0" collapsed="false">
      <c r="A75" s="146"/>
      <c r="B75" s="146"/>
      <c r="C75" s="146"/>
      <c r="D75" s="146"/>
      <c r="E75" s="146"/>
      <c r="G75" s="146"/>
      <c r="I75" s="146"/>
      <c r="J75" s="146"/>
      <c r="K75" s="146"/>
      <c r="L75" s="146"/>
      <c r="M75" s="146"/>
      <c r="N75" s="146"/>
      <c r="O75" s="146"/>
    </row>
    <row r="76" customFormat="false" ht="12.8" hidden="false" customHeight="false" outlineLevel="0" collapsed="false">
      <c r="A76" s="146"/>
      <c r="B76" s="146"/>
      <c r="C76" s="146"/>
      <c r="D76" s="146"/>
      <c r="I76" s="146"/>
      <c r="L76" s="146"/>
      <c r="M76" s="146"/>
    </row>
    <row r="77" customFormat="false" ht="12.8" hidden="false" customHeight="false" outlineLevel="0" collapsed="false">
      <c r="A77" s="146"/>
      <c r="B77" s="146"/>
      <c r="C77" s="146"/>
      <c r="D77" s="146"/>
      <c r="G77" s="146"/>
      <c r="I77" s="146"/>
      <c r="J77" s="146"/>
      <c r="K77" s="146"/>
      <c r="L77" s="146"/>
      <c r="M77" s="146"/>
      <c r="N77" s="146"/>
      <c r="O77" s="146"/>
    </row>
    <row r="78" customFormat="false" ht="12.8" hidden="false" customHeight="false" outlineLevel="0" collapsed="false">
      <c r="A78" s="146"/>
      <c r="B78" s="146"/>
      <c r="C78" s="146"/>
      <c r="D78" s="146"/>
      <c r="G78" s="146"/>
      <c r="I78" s="146"/>
      <c r="K78" s="146"/>
      <c r="L78" s="146"/>
      <c r="M78" s="146"/>
      <c r="O78" s="146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40" t="s">
        <v>113</v>
      </c>
      <c r="B1" s="140" t="s">
        <v>114</v>
      </c>
      <c r="C1" s="140" t="s">
        <v>115</v>
      </c>
      <c r="D1" s="140" t="s">
        <v>116</v>
      </c>
      <c r="E1" s="140" t="s">
        <v>117</v>
      </c>
      <c r="F1" s="140" t="s">
        <v>118</v>
      </c>
      <c r="G1" s="140" t="s">
        <v>119</v>
      </c>
    </row>
    <row r="2" customFormat="false" ht="12.8" hidden="false" customHeight="false" outlineLevel="0" collapsed="false">
      <c r="A2" s="142" t="s">
        <v>120</v>
      </c>
      <c r="B2" s="143" t="n">
        <v>18.9</v>
      </c>
      <c r="C2" s="143" t="n">
        <f aca="false">((B2*1000)/350)</f>
        <v>54</v>
      </c>
      <c r="D2" s="143" t="n">
        <f aca="false">((B2*1000)/350)/1000</f>
        <v>0.054</v>
      </c>
      <c r="E2" s="143" t="n">
        <f aca="false">D2*100</f>
        <v>5.4</v>
      </c>
      <c r="F2" s="143" t="n">
        <f aca="false">D2*1000</f>
        <v>54</v>
      </c>
      <c r="G2" s="143" t="n">
        <f aca="false">D2*2000</f>
        <v>108</v>
      </c>
    </row>
    <row r="3" customFormat="false" ht="12.8" hidden="false" customHeight="false" outlineLevel="0" collapsed="false">
      <c r="A3" s="142" t="s">
        <v>121</v>
      </c>
      <c r="B3" s="143" t="n">
        <v>522.8</v>
      </c>
      <c r="C3" s="143" t="n">
        <f aca="false">((B3*1000)/350)</f>
        <v>1493.71428571429</v>
      </c>
      <c r="D3" s="143" t="n">
        <f aca="false">((B3*1000)/350)/1000</f>
        <v>1.49371428571429</v>
      </c>
      <c r="E3" s="143" t="n">
        <f aca="false">D3*100</f>
        <v>149.371428571429</v>
      </c>
      <c r="F3" s="143" t="n">
        <f aca="false">D3*1000</f>
        <v>1493.71428571429</v>
      </c>
      <c r="G3" s="143" t="n">
        <f aca="false">D3*2000</f>
        <v>2987.42857142857</v>
      </c>
    </row>
    <row r="4" customFormat="false" ht="12.8" hidden="false" customHeight="false" outlineLevel="0" collapsed="false">
      <c r="A4" s="142" t="s">
        <v>122</v>
      </c>
      <c r="B4" s="143" t="n">
        <v>0.42</v>
      </c>
      <c r="C4" s="143" t="n">
        <f aca="false">((B4*1000)/350)</f>
        <v>1.2</v>
      </c>
      <c r="D4" s="143" t="n">
        <f aca="false">((B4*1000)/350)/1000</f>
        <v>0.0012</v>
      </c>
      <c r="E4" s="143" t="n">
        <f aca="false">D4*100</f>
        <v>0.12</v>
      </c>
      <c r="F4" s="143" t="n">
        <f aca="false">D4*1000</f>
        <v>1.2</v>
      </c>
      <c r="G4" s="143" t="n">
        <f aca="false">D4*2000</f>
        <v>2.4</v>
      </c>
    </row>
    <row r="5" customFormat="false" ht="12.8" hidden="false" customHeight="false" outlineLevel="0" collapsed="false">
      <c r="A5" s="142" t="s">
        <v>123</v>
      </c>
      <c r="B5" s="143" t="n">
        <v>10.5</v>
      </c>
      <c r="C5" s="143" t="n">
        <f aca="false">((B5*1000)/350)</f>
        <v>30</v>
      </c>
      <c r="D5" s="143" t="n">
        <f aca="false">((B5*1000)/350)/1000</f>
        <v>0.03</v>
      </c>
      <c r="E5" s="143" t="n">
        <f aca="false">D5*100</f>
        <v>3</v>
      </c>
      <c r="F5" s="143" t="n">
        <f aca="false">D5*1000</f>
        <v>30</v>
      </c>
      <c r="G5" s="143" t="n">
        <f aca="false">D5*2000</f>
        <v>60</v>
      </c>
    </row>
    <row r="6" customFormat="false" ht="12.8" hidden="false" customHeight="false" outlineLevel="0" collapsed="false">
      <c r="A6" s="142" t="s">
        <v>124</v>
      </c>
      <c r="B6" s="143" t="n">
        <v>0.0105</v>
      </c>
      <c r="C6" s="143" t="n">
        <f aca="false">((B6*1000)/350)</f>
        <v>0.03</v>
      </c>
      <c r="D6" s="143" t="n">
        <f aca="false">((B6*1000)/350)/1000</f>
        <v>3E-005</v>
      </c>
      <c r="E6" s="143" t="n">
        <f aca="false">D6*100</f>
        <v>0.003</v>
      </c>
      <c r="F6" s="143" t="n">
        <f aca="false">D6*1000</f>
        <v>0.03</v>
      </c>
      <c r="G6" s="143" t="n">
        <f aca="false">D6*2000</f>
        <v>0.06</v>
      </c>
    </row>
    <row r="7" customFormat="false" ht="12.8" hidden="false" customHeight="false" outlineLevel="0" collapsed="false">
      <c r="A7" s="142" t="s">
        <v>125</v>
      </c>
      <c r="B7" s="143" t="n">
        <v>0.21</v>
      </c>
      <c r="C7" s="143" t="n">
        <f aca="false">((B7*1000)/350)</f>
        <v>0.6</v>
      </c>
      <c r="D7" s="143" t="n">
        <f aca="false">((B7*1000)/350)/1000</f>
        <v>0.0006</v>
      </c>
      <c r="E7" s="143" t="n">
        <f aca="false">D7*100</f>
        <v>0.06</v>
      </c>
      <c r="F7" s="143" t="n">
        <f aca="false">D7*1000</f>
        <v>0.6</v>
      </c>
      <c r="G7" s="143" t="n">
        <f aca="false">D7*2000</f>
        <v>1.2</v>
      </c>
    </row>
    <row r="8" customFormat="false" ht="12.8" hidden="false" customHeight="false" outlineLevel="0" collapsed="false">
      <c r="A8" s="145" t="s">
        <v>126</v>
      </c>
      <c r="B8" s="144" t="n">
        <v>9.23</v>
      </c>
      <c r="C8" s="144" t="n">
        <f aca="false">((B8*1000)/350)</f>
        <v>26.3714285714286</v>
      </c>
      <c r="D8" s="144" t="n">
        <f aca="false">((B8*1000)/350)/1000</f>
        <v>0.0263714285714286</v>
      </c>
      <c r="E8" s="144" t="n">
        <f aca="false">D8*100</f>
        <v>2.63714285714286</v>
      </c>
      <c r="F8" s="144" t="n">
        <f aca="false">D8*1000</f>
        <v>26.3714285714286</v>
      </c>
      <c r="G8" s="144" t="n">
        <f aca="false">D8*2000</f>
        <v>52.7428571428571</v>
      </c>
    </row>
    <row r="11" customFormat="false" ht="12.8" hidden="false" customHeight="false" outlineLevel="0" collapsed="false">
      <c r="A11" s="140" t="s">
        <v>88</v>
      </c>
      <c r="B11" s="140" t="s">
        <v>127</v>
      </c>
      <c r="C11" s="140"/>
      <c r="D11" s="140"/>
      <c r="E11" s="140"/>
    </row>
    <row r="12" customFormat="false" ht="12.8" hidden="false" customHeight="false" outlineLevel="0" collapsed="false">
      <c r="A12" s="140" t="n">
        <v>500</v>
      </c>
      <c r="B12" s="140" t="s">
        <v>128</v>
      </c>
      <c r="C12" s="140" t="s">
        <v>129</v>
      </c>
      <c r="D12" s="140" t="s">
        <v>130</v>
      </c>
      <c r="E12" s="140" t="s">
        <v>131</v>
      </c>
    </row>
    <row r="13" customFormat="false" ht="12.8" hidden="false" customHeight="false" outlineLevel="0" collapsed="false">
      <c r="A13" s="147" t="s">
        <v>120</v>
      </c>
      <c r="B13" s="162" t="n">
        <f aca="false">D2*($A$12/1000)</f>
        <v>0.027</v>
      </c>
      <c r="C13" s="162" t="n">
        <f aca="false">(E2*$A$12)/1000</f>
        <v>2.7</v>
      </c>
      <c r="D13" s="162" t="n">
        <f aca="false">(F2*$A$12)/1000</f>
        <v>27</v>
      </c>
      <c r="E13" s="162" t="n">
        <f aca="false">(G2*$A$12)/1000</f>
        <v>54</v>
      </c>
    </row>
    <row r="14" customFormat="false" ht="12.8" hidden="false" customHeight="false" outlineLevel="0" collapsed="false">
      <c r="A14" s="142" t="s">
        <v>121</v>
      </c>
      <c r="B14" s="163" t="n">
        <f aca="false">D3*($A$12/1000)</f>
        <v>0.746857142857143</v>
      </c>
      <c r="C14" s="163" t="n">
        <f aca="false">(E3*$A$12)/1000</f>
        <v>74.6857142857143</v>
      </c>
      <c r="D14" s="163" t="n">
        <f aca="false">(F3*$A$12)/1000</f>
        <v>746.857142857143</v>
      </c>
      <c r="E14" s="163" t="n">
        <f aca="false">(G3*$A$12)/1000</f>
        <v>1493.71428571429</v>
      </c>
    </row>
    <row r="15" customFormat="false" ht="12.8" hidden="false" customHeight="false" outlineLevel="0" collapsed="false">
      <c r="A15" s="142" t="s">
        <v>122</v>
      </c>
      <c r="B15" s="163" t="n">
        <f aca="false">D4*($A$12/1000)</f>
        <v>0.0006</v>
      </c>
      <c r="C15" s="163" t="n">
        <f aca="false">(E4*$A$12)/1000</f>
        <v>0.06</v>
      </c>
      <c r="D15" s="163" t="n">
        <f aca="false">(F4*$A$12)/1000</f>
        <v>0.6</v>
      </c>
      <c r="E15" s="163" t="n">
        <f aca="false">(G4*$A$12)/1000</f>
        <v>1.2</v>
      </c>
    </row>
    <row r="16" customFormat="false" ht="12.8" hidden="false" customHeight="false" outlineLevel="0" collapsed="false">
      <c r="A16" s="142" t="s">
        <v>123</v>
      </c>
      <c r="B16" s="163" t="n">
        <f aca="false">D5*($A$12/1000)</f>
        <v>0.015</v>
      </c>
      <c r="C16" s="163" t="n">
        <f aca="false">(E5*$A$12)/1000</f>
        <v>1.5</v>
      </c>
      <c r="D16" s="163" t="n">
        <f aca="false">(F5*$A$12)/1000</f>
        <v>15</v>
      </c>
      <c r="E16" s="163" t="n">
        <f aca="false">(G5*$A$12)/1000</f>
        <v>30</v>
      </c>
    </row>
    <row r="17" customFormat="false" ht="12.8" hidden="false" customHeight="false" outlineLevel="0" collapsed="false">
      <c r="A17" s="142" t="s">
        <v>124</v>
      </c>
      <c r="B17" s="163" t="n">
        <f aca="false">D6*($A$12/1000)</f>
        <v>1.5E-005</v>
      </c>
      <c r="C17" s="163" t="n">
        <f aca="false">(E6*$A$12)/1000</f>
        <v>0.0015</v>
      </c>
      <c r="D17" s="163" t="n">
        <f aca="false">(F6*$A$12)/1000</f>
        <v>0.015</v>
      </c>
      <c r="E17" s="163" t="n">
        <f aca="false">(G6*$A$12)/1000</f>
        <v>0.03</v>
      </c>
    </row>
    <row r="18" customFormat="false" ht="12.8" hidden="false" customHeight="false" outlineLevel="0" collapsed="false">
      <c r="A18" s="142" t="s">
        <v>125</v>
      </c>
      <c r="B18" s="163" t="n">
        <f aca="false">D7*($A$12/1000)</f>
        <v>0.0003</v>
      </c>
      <c r="C18" s="163" t="n">
        <f aca="false">(E7*$A$12)/1000</f>
        <v>0.03</v>
      </c>
      <c r="D18" s="163" t="n">
        <f aca="false">(F7*$A$12)/1000</f>
        <v>0.3</v>
      </c>
      <c r="E18" s="163" t="n">
        <f aca="false">(G7*$A$12)/1000</f>
        <v>0.6</v>
      </c>
    </row>
    <row r="19" customFormat="false" ht="12.8" hidden="false" customHeight="false" outlineLevel="0" collapsed="false">
      <c r="A19" s="142" t="s">
        <v>126</v>
      </c>
      <c r="B19" s="163" t="n">
        <f aca="false">D8*($A$12/1000)</f>
        <v>0.0131857142857143</v>
      </c>
      <c r="C19" s="163" t="n">
        <f aca="false">(E8*$A$12)/1000</f>
        <v>1.31857142857143</v>
      </c>
      <c r="D19" s="163" t="n">
        <f aca="false">(F8*$A$12)/1000</f>
        <v>13.1857142857143</v>
      </c>
      <c r="E19" s="163" t="n">
        <f aca="false">(G8*$A$12)/1000</f>
        <v>26.3714285714286</v>
      </c>
    </row>
    <row r="20" customFormat="false" ht="12.8" hidden="false" customHeight="false" outlineLevel="0" collapsed="false">
      <c r="A20" s="2" t="s">
        <v>88</v>
      </c>
      <c r="B20" s="2" t="n">
        <f aca="false">C20*100</f>
        <v>500</v>
      </c>
      <c r="C20" s="2" t="n">
        <f aca="false">D20*10</f>
        <v>5</v>
      </c>
      <c r="D20" s="2" t="n">
        <f aca="false">1*(A12/1000)</f>
        <v>0.5</v>
      </c>
      <c r="E20" s="2" t="n">
        <f aca="false">D20/2</f>
        <v>0.25</v>
      </c>
    </row>
    <row r="21" customFormat="false" ht="12.8" hidden="false" customHeight="false" outlineLevel="0" collapsed="false">
      <c r="B21" s="146"/>
      <c r="C21" s="146"/>
      <c r="D21" s="146"/>
      <c r="E21" s="146"/>
    </row>
    <row r="23" customFormat="false" ht="12.8" hidden="false" customHeight="false" outlineLevel="0" collapsed="false">
      <c r="A23" s="140" t="s">
        <v>88</v>
      </c>
      <c r="B23" s="140" t="s">
        <v>127</v>
      </c>
      <c r="C23" s="140"/>
      <c r="D23" s="140"/>
      <c r="E23" s="140"/>
    </row>
    <row r="24" customFormat="false" ht="12.8" hidden="false" customHeight="false" outlineLevel="0" collapsed="false">
      <c r="A24" s="140" t="n">
        <v>100</v>
      </c>
      <c r="B24" s="140" t="s">
        <v>128</v>
      </c>
      <c r="C24" s="140" t="s">
        <v>129</v>
      </c>
      <c r="D24" s="140" t="s">
        <v>130</v>
      </c>
      <c r="E24" s="140" t="s">
        <v>131</v>
      </c>
    </row>
    <row r="25" customFormat="false" ht="12.8" hidden="false" customHeight="false" outlineLevel="0" collapsed="false">
      <c r="A25" s="147" t="s">
        <v>120</v>
      </c>
      <c r="B25" s="162" t="n">
        <f aca="false">D2*($A$24/1000)</f>
        <v>0.0054</v>
      </c>
      <c r="C25" s="162" t="n">
        <f aca="false">(E2*$A$24)/1000</f>
        <v>0.54</v>
      </c>
      <c r="D25" s="162" t="n">
        <f aca="false">(F2*$A$24)/1000</f>
        <v>5.4</v>
      </c>
      <c r="E25" s="162" t="n">
        <f aca="false">(G2*$A$24)/1000</f>
        <v>10.8</v>
      </c>
    </row>
    <row r="26" customFormat="false" ht="12.8" hidden="false" customHeight="false" outlineLevel="0" collapsed="false">
      <c r="A26" s="142" t="s">
        <v>121</v>
      </c>
      <c r="B26" s="163" t="n">
        <f aca="false">D3*($A$24/1000)</f>
        <v>0.149371428571429</v>
      </c>
      <c r="C26" s="163" t="n">
        <f aca="false">(E3*$A$24)/1000</f>
        <v>14.9371428571429</v>
      </c>
      <c r="D26" s="163" t="n">
        <f aca="false">(F3*$A$24)/1000</f>
        <v>149.371428571429</v>
      </c>
      <c r="E26" s="163" t="n">
        <f aca="false">(G3*$A$24)/1000</f>
        <v>298.742857142857</v>
      </c>
    </row>
    <row r="27" customFormat="false" ht="12.8" hidden="false" customHeight="false" outlineLevel="0" collapsed="false">
      <c r="A27" s="142" t="s">
        <v>122</v>
      </c>
      <c r="B27" s="163" t="n">
        <f aca="false">D4*($A$24/1000)</f>
        <v>0.00012</v>
      </c>
      <c r="C27" s="163" t="n">
        <f aca="false">(E4*$A$24)/1000</f>
        <v>0.012</v>
      </c>
      <c r="D27" s="163" t="n">
        <f aca="false">(F4*$A$24)/1000</f>
        <v>0.12</v>
      </c>
      <c r="E27" s="163" t="n">
        <f aca="false">(G4*$A$24)/1000</f>
        <v>0.24</v>
      </c>
    </row>
    <row r="28" customFormat="false" ht="12.8" hidden="false" customHeight="false" outlineLevel="0" collapsed="false">
      <c r="A28" s="142" t="s">
        <v>123</v>
      </c>
      <c r="B28" s="163" t="n">
        <f aca="false">D5*($A$24/1000)</f>
        <v>0.003</v>
      </c>
      <c r="C28" s="163" t="n">
        <f aca="false">(E5*$A$24)/1000</f>
        <v>0.3</v>
      </c>
      <c r="D28" s="163" t="n">
        <f aca="false">(F5*$A$24)/1000</f>
        <v>3</v>
      </c>
      <c r="E28" s="163" t="n">
        <f aca="false">(G5*$A$24)/1000</f>
        <v>6</v>
      </c>
    </row>
    <row r="29" customFormat="false" ht="12.8" hidden="false" customHeight="false" outlineLevel="0" collapsed="false">
      <c r="A29" s="142" t="s">
        <v>124</v>
      </c>
      <c r="B29" s="163" t="n">
        <f aca="false">D6*($A$24/1000)</f>
        <v>3E-006</v>
      </c>
      <c r="C29" s="163" t="n">
        <f aca="false">(E6*$A$24)/1000</f>
        <v>0.0003</v>
      </c>
      <c r="D29" s="163" t="n">
        <f aca="false">(F6*$A$24)/1000</f>
        <v>0.003</v>
      </c>
      <c r="E29" s="163" t="n">
        <f aca="false">(G6*$A$24)/1000</f>
        <v>0.006</v>
      </c>
    </row>
    <row r="30" customFormat="false" ht="12.8" hidden="false" customHeight="false" outlineLevel="0" collapsed="false">
      <c r="A30" s="142" t="s">
        <v>125</v>
      </c>
      <c r="B30" s="163" t="n">
        <f aca="false">D7*($A$24/1000)</f>
        <v>6E-005</v>
      </c>
      <c r="C30" s="163" t="n">
        <f aca="false">(E7*$A$24)/1000</f>
        <v>0.006</v>
      </c>
      <c r="D30" s="163" t="n">
        <f aca="false">(F7*$A$24)/1000</f>
        <v>0.06</v>
      </c>
      <c r="E30" s="163" t="n">
        <f aca="false">(G7*$A$24)/1000</f>
        <v>0.12</v>
      </c>
    </row>
    <row r="31" customFormat="false" ht="12.8" hidden="false" customHeight="false" outlineLevel="0" collapsed="false">
      <c r="A31" s="142" t="s">
        <v>126</v>
      </c>
      <c r="B31" s="164" t="n">
        <f aca="false">D8*($A$24/1000)</f>
        <v>0.00263714285714286</v>
      </c>
      <c r="C31" s="164" t="n">
        <f aca="false">(E8*$A$24)/1000</f>
        <v>0.263714285714286</v>
      </c>
      <c r="D31" s="164" t="n">
        <f aca="false">(F8*$A$24)/1000</f>
        <v>2.63714285714286</v>
      </c>
      <c r="E31" s="164" t="n">
        <f aca="false">(G8*$A$24)/1000</f>
        <v>5.27428571428571</v>
      </c>
    </row>
    <row r="32" customFormat="false" ht="12.8" hidden="false" customHeight="false" outlineLevel="0" collapsed="false">
      <c r="A32" s="2" t="s">
        <v>88</v>
      </c>
      <c r="B32" s="2" t="n">
        <f aca="false">C32*100</f>
        <v>100</v>
      </c>
      <c r="C32" s="2" t="n">
        <f aca="false">D32*10</f>
        <v>1</v>
      </c>
      <c r="D32" s="2" t="n">
        <f aca="false">1*(A24/1000)</f>
        <v>0.1</v>
      </c>
      <c r="E32" s="2" t="n">
        <f aca="false">D32/2</f>
        <v>0.05</v>
      </c>
    </row>
    <row r="35" customFormat="false" ht="12.8" hidden="false" customHeight="false" outlineLevel="0" collapsed="false">
      <c r="A35" s="140" t="s">
        <v>88</v>
      </c>
      <c r="B35" s="140" t="s">
        <v>127</v>
      </c>
      <c r="C35" s="140"/>
      <c r="D35" s="140"/>
      <c r="E35" s="140"/>
    </row>
    <row r="36" customFormat="false" ht="12.8" hidden="false" customHeight="false" outlineLevel="0" collapsed="false">
      <c r="A36" s="140" t="n">
        <v>2000</v>
      </c>
      <c r="B36" s="140" t="s">
        <v>128</v>
      </c>
      <c r="C36" s="140" t="s">
        <v>129</v>
      </c>
      <c r="D36" s="140" t="s">
        <v>130</v>
      </c>
      <c r="E36" s="140" t="s">
        <v>131</v>
      </c>
    </row>
    <row r="37" customFormat="false" ht="12.8" hidden="false" customHeight="false" outlineLevel="0" collapsed="false">
      <c r="A37" s="147" t="s">
        <v>120</v>
      </c>
      <c r="B37" s="162" t="n">
        <f aca="false">D2*($A$36/1000)</f>
        <v>0.108</v>
      </c>
      <c r="C37" s="162" t="n">
        <f aca="false">(E2*$A$36)/1000</f>
        <v>10.8</v>
      </c>
      <c r="D37" s="162" t="n">
        <f aca="false">(F2*$A$36)/1000</f>
        <v>108</v>
      </c>
      <c r="E37" s="162" t="n">
        <f aca="false">(G2*$A$36)/1000</f>
        <v>216</v>
      </c>
    </row>
    <row r="38" customFormat="false" ht="12.8" hidden="false" customHeight="false" outlineLevel="0" collapsed="false">
      <c r="A38" s="142" t="s">
        <v>121</v>
      </c>
      <c r="B38" s="163" t="n">
        <f aca="false">D3*($A$36/1000)</f>
        <v>2.98742857142857</v>
      </c>
      <c r="C38" s="163" t="n">
        <f aca="false">(E3*$A$36)/1000</f>
        <v>298.742857142857</v>
      </c>
      <c r="D38" s="163" t="n">
        <f aca="false">(F3*$A$36)/1000</f>
        <v>2987.42857142857</v>
      </c>
      <c r="E38" s="163" t="n">
        <f aca="false">(G3*$A$36)/1000</f>
        <v>5974.85714285714</v>
      </c>
    </row>
    <row r="39" customFormat="false" ht="12.8" hidden="false" customHeight="false" outlineLevel="0" collapsed="false">
      <c r="A39" s="142" t="s">
        <v>122</v>
      </c>
      <c r="B39" s="163" t="n">
        <f aca="false">D4*($A$36/1000)</f>
        <v>0.0024</v>
      </c>
      <c r="C39" s="163" t="n">
        <f aca="false">(E4*$A$36)/1000</f>
        <v>0.24</v>
      </c>
      <c r="D39" s="163" t="n">
        <f aca="false">(F4*$A$36)/1000</f>
        <v>2.4</v>
      </c>
      <c r="E39" s="163" t="n">
        <f aca="false">(G4*$A$36)/1000</f>
        <v>4.8</v>
      </c>
    </row>
    <row r="40" customFormat="false" ht="12.8" hidden="false" customHeight="false" outlineLevel="0" collapsed="false">
      <c r="A40" s="142" t="s">
        <v>123</v>
      </c>
      <c r="B40" s="163" t="n">
        <f aca="false">D5*($A$36/1000)</f>
        <v>0.06</v>
      </c>
      <c r="C40" s="163" t="n">
        <f aca="false">(E5*$A$36)/1000</f>
        <v>6</v>
      </c>
      <c r="D40" s="163" t="n">
        <f aca="false">(F5*$A$36)/1000</f>
        <v>60</v>
      </c>
      <c r="E40" s="163" t="n">
        <f aca="false">(G5*$A$36)/1000</f>
        <v>120</v>
      </c>
    </row>
    <row r="41" customFormat="false" ht="12.8" hidden="false" customHeight="false" outlineLevel="0" collapsed="false">
      <c r="A41" s="142" t="s">
        <v>124</v>
      </c>
      <c r="B41" s="163" t="n">
        <f aca="false">D6*($A$36/1000)</f>
        <v>6E-005</v>
      </c>
      <c r="C41" s="163" t="n">
        <f aca="false">(E6*$A$36)/1000</f>
        <v>0.006</v>
      </c>
      <c r="D41" s="163" t="n">
        <f aca="false">(F6*$A$36)/1000</f>
        <v>0.06</v>
      </c>
      <c r="E41" s="163" t="n">
        <f aca="false">(G6*$A$36)/1000</f>
        <v>0.12</v>
      </c>
    </row>
    <row r="42" customFormat="false" ht="12.8" hidden="false" customHeight="false" outlineLevel="0" collapsed="false">
      <c r="A42" s="142" t="s">
        <v>125</v>
      </c>
      <c r="B42" s="163" t="n">
        <f aca="false">D7*($A$36/1000)</f>
        <v>0.0012</v>
      </c>
      <c r="C42" s="163" t="n">
        <f aca="false">(E7*$A$36)/1000</f>
        <v>0.12</v>
      </c>
      <c r="D42" s="163" t="n">
        <f aca="false">(F7*$A$36)/1000</f>
        <v>1.2</v>
      </c>
      <c r="E42" s="163" t="n">
        <f aca="false">(G7*$A$36)/1000</f>
        <v>2.4</v>
      </c>
    </row>
    <row r="43" customFormat="false" ht="12.8" hidden="false" customHeight="false" outlineLevel="0" collapsed="false">
      <c r="A43" s="142" t="s">
        <v>126</v>
      </c>
      <c r="B43" s="164" t="n">
        <f aca="false">D8*($A$36/1000)</f>
        <v>0.0527428571428571</v>
      </c>
      <c r="C43" s="164" t="n">
        <f aca="false">(E8*$A$36)/1000</f>
        <v>5.27428571428571</v>
      </c>
      <c r="D43" s="164" t="n">
        <f aca="false">(F8*$A$36)/1000</f>
        <v>52.7428571428571</v>
      </c>
      <c r="E43" s="164" t="n">
        <f aca="false">(G8*$A$36)/1000</f>
        <v>105.485714285714</v>
      </c>
    </row>
    <row r="44" customFormat="false" ht="12.8" hidden="false" customHeight="false" outlineLevel="0" collapsed="false">
      <c r="A44" s="2" t="s">
        <v>88</v>
      </c>
      <c r="B44" s="2" t="n">
        <f aca="false">C44*100</f>
        <v>2000</v>
      </c>
      <c r="C44" s="2" t="n">
        <f aca="false">D44*10</f>
        <v>20</v>
      </c>
      <c r="D44" s="2" t="n">
        <f aca="false">1*(A36/1000)</f>
        <v>2</v>
      </c>
      <c r="E44" s="2" t="n">
        <f aca="false">D44/2</f>
        <v>1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LibreOffice/25.8.7.3$Linux_X86_64 LibreOffice_project/86b09991d16243f9209a07fafcdf2f8cdb0ad329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2026-05-16T18:51:20Z</dcterms:modified>
  <cp:revision>67</cp:revision>
  <dc:subject/>
  <dc:title/>
</cp:coreProperties>
</file>