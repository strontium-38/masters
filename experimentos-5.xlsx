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2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Caracterizacao" sheetId="1" state="visible" r:id="rId3"/>
    <sheet name="COV" sheetId="2" state="visible" r:id="rId4"/>
    <sheet name="COV_3" sheetId="3" state="visible" r:id="rId5"/>
    <sheet name="Calibracao Bombas" sheetId="4" state="visible" r:id="rId6"/>
    <sheet name="Nutrientes" sheetId="5" state="visible" r:id="rId7"/>
    <sheet name="Alcalinidade-AGV" sheetId="6" state="visible" r:id="rId8"/>
    <sheet name="Production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<sst xmlns="http://schemas.openxmlformats.org/spreadsheetml/2006/main" count="513" uniqueCount="178">
  <si>
    <t xml:space="preserve">Determinacao densidade</t>
  </si>
  <si>
    <t xml:space="preserve">Amostra</t>
  </si>
  <si>
    <t xml:space="preserve">m0 (g)</t>
  </si>
  <si>
    <t xml:space="preserve">m1 (g)</t>
  </si>
  <si>
    <t xml:space="preserve">m1 - m0 (g)</t>
  </si>
  <si>
    <t xml:space="preserve">V (L)</t>
  </si>
  <si>
    <t xml:space="preserve">m2 (g)</t>
  </si>
  <si>
    <t xml:space="preserve">m2 – m0 (g)</t>
  </si>
  <si>
    <t xml:space="preserve">densidade (g/L)</t>
  </si>
  <si>
    <t xml:space="preserve">densidade padrao (g/L)</t>
  </si>
  <si>
    <t xml:space="preserve">RA</t>
  </si>
  <si>
    <t xml:space="preserve">GL</t>
  </si>
  <si>
    <t xml:space="preserve">Inoculo</t>
  </si>
  <si>
    <t xml:space="preserve">Densidade agua (g/L)</t>
  </si>
  <si>
    <t xml:space="preserve">Determinacao de Solidos</t>
  </si>
  <si>
    <t xml:space="preserve">m sub (g)</t>
  </si>
  <si>
    <t xml:space="preserve">V sub (L)</t>
  </si>
  <si>
    <t xml:space="preserve">TS (g/L)</t>
  </si>
  <si>
    <t xml:space="preserve">media TS (g/L)</t>
  </si>
  <si>
    <t xml:space="preserve">TS %</t>
  </si>
  <si>
    <t xml:space="preserve">media TS %</t>
  </si>
  <si>
    <t xml:space="preserve">m3 (g)</t>
  </si>
  <si>
    <t xml:space="preserve">VS (g/L)</t>
  </si>
  <si>
    <t xml:space="preserve">media VS (g/L)</t>
  </si>
  <si>
    <t xml:space="preserve">VS %</t>
  </si>
  <si>
    <t xml:space="preserve">media VS %</t>
  </si>
  <si>
    <t xml:space="preserve">FS (g/L)</t>
  </si>
  <si>
    <t xml:space="preserve">media FS (g/L)</t>
  </si>
  <si>
    <t xml:space="preserve">FS %</t>
  </si>
  <si>
    <t xml:space="preserve">media FS %</t>
  </si>
  <si>
    <t xml:space="preserve">Resultado TOC</t>
  </si>
  <si>
    <t xml:space="preserve">TOC (mg/L)</t>
  </si>
  <si>
    <t xml:space="preserve">TC (mg/L)</t>
  </si>
  <si>
    <t xml:space="preserve">IC (mg/L)</t>
  </si>
  <si>
    <t xml:space="preserve">TN (mg/L)</t>
  </si>
  <si>
    <t xml:space="preserve">diluicao</t>
  </si>
  <si>
    <t xml:space="preserve">media TC (mg/L)</t>
  </si>
  <si>
    <t xml:space="preserve">media IC (mg/L)</t>
  </si>
  <si>
    <t xml:space="preserve">media TN (mg/L)</t>
  </si>
  <si>
    <t xml:space="preserve">Substrato</t>
  </si>
  <si>
    <t xml:space="preserve">Densidade (g/L)</t>
  </si>
  <si>
    <t xml:space="preserve">TC (g/L)</t>
  </si>
  <si>
    <t xml:space="preserve">TN (g/L)</t>
  </si>
  <si>
    <t xml:space="preserve">Sub 1</t>
  </si>
  <si>
    <t xml:space="preserve">Sub 2</t>
  </si>
  <si>
    <t xml:space="preserve">GL – BIO</t>
  </si>
  <si>
    <t xml:space="preserve">GL – PURO</t>
  </si>
  <si>
    <t xml:space="preserve">Diluicao</t>
  </si>
  <si>
    <t xml:space="preserve">Densidade ajustada (g/L)</t>
  </si>
  <si>
    <t xml:space="preserve">TC ajustado (g/L)</t>
  </si>
  <si>
    <t xml:space="preserve">Glucose</t>
  </si>
  <si>
    <t xml:space="preserve">TN ajustado (g/L)</t>
  </si>
  <si>
    <t xml:space="preserve">TS ajustado (g/L)</t>
  </si>
  <si>
    <t xml:space="preserve">VS ajustado (g/L)</t>
  </si>
  <si>
    <t xml:space="preserve">C/N Calculation</t>
  </si>
  <si>
    <t xml:space="preserve">Proporcao</t>
  </si>
  <si>
    <t xml:space="preserve">C</t>
  </si>
  <si>
    <t xml:space="preserve">N</t>
  </si>
  <si>
    <t xml:space="preserve">Volume Ratio Parts</t>
  </si>
  <si>
    <t xml:space="preserve">C/N</t>
  </si>
  <si>
    <t xml:space="preserve">Volume Ratio (L)</t>
  </si>
  <si>
    <t xml:space="preserve">-</t>
  </si>
  <si>
    <t xml:space="preserve">Volume (L)</t>
  </si>
  <si>
    <t xml:space="preserve">From V Ratio (L)</t>
  </si>
  <si>
    <t xml:space="preserve">Volume (mL)</t>
  </si>
  <si>
    <t xml:space="preserve">Quantidade Carbono (g)</t>
  </si>
  <si>
    <t xml:space="preserve">Concentracao Carbono (g/L)</t>
  </si>
  <si>
    <t xml:space="preserve">Mistura </t>
  </si>
  <si>
    <t xml:space="preserve">Calculo ST e SV</t>
  </si>
  <si>
    <t xml:space="preserve">Mass (g)</t>
  </si>
  <si>
    <t xml:space="preserve">Total Mass (g)</t>
  </si>
  <si>
    <t xml:space="preserve">TS (g)</t>
  </si>
  <si>
    <t xml:space="preserve">VS (g)</t>
  </si>
  <si>
    <t xml:space="preserve">VS/TS</t>
  </si>
  <si>
    <t xml:space="preserve">TS % Alvo</t>
  </si>
  <si>
    <t xml:space="preserve">TS % Ratio</t>
  </si>
  <si>
    <t xml:space="preserve">VS diluido (g)</t>
  </si>
  <si>
    <t xml:space="preserve">VS diluido (g/L)</t>
  </si>
  <si>
    <t xml:space="preserve">Calculo COV</t>
  </si>
  <si>
    <t xml:space="preserve">Reator</t>
  </si>
  <si>
    <t xml:space="preserve">Volume (m^3)</t>
  </si>
  <si>
    <t xml:space="preserve">Tempo Retencao (d)</t>
  </si>
  <si>
    <t xml:space="preserve">Fluxo (L/d)</t>
  </si>
  <si>
    <t xml:space="preserve">COV Alvo</t>
  </si>
  <si>
    <t xml:space="preserve">Reator Pequeno 1 </t>
  </si>
  <si>
    <t xml:space="preserve">Reator Pequeno 2</t>
  </si>
  <si>
    <t xml:space="preserve">Reator Grande</t>
  </si>
  <si>
    <t xml:space="preserve">VS (g/d)</t>
  </si>
  <si>
    <t xml:space="preserve">VS (Kg/d)</t>
  </si>
  <si>
    <t xml:space="preserve">COV (Kg SV/m³ d)</t>
  </si>
  <si>
    <t xml:space="preserve">COV Ratio</t>
  </si>
  <si>
    <t xml:space="preserve">TS % diluido</t>
  </si>
  <si>
    <t xml:space="preserve">Calculo para montar a solucao</t>
  </si>
  <si>
    <t xml:space="preserve">Diluicao TS</t>
  </si>
  <si>
    <t xml:space="preserve">KHCO3 (g/L)</t>
  </si>
  <si>
    <t xml:space="preserve">KHCO3 (g)</t>
  </si>
  <si>
    <t xml:space="preserve">Proporcao Sub</t>
  </si>
  <si>
    <t xml:space="preserve">Volume Sub (mL)</t>
  </si>
  <si>
    <t xml:space="preserve">g</t>
  </si>
  <si>
    <t xml:space="preserve">Diluicao COV</t>
  </si>
  <si>
    <t xml:space="preserve">COV</t>
  </si>
  <si>
    <t xml:space="preserve">Volumes (L)</t>
  </si>
  <si>
    <t xml:space="preserve">Sub 3</t>
  </si>
  <si>
    <t xml:space="preserve">Multiplicador (g/L)</t>
  </si>
  <si>
    <t xml:space="preserve">Value (g/L)</t>
  </si>
  <si>
    <t xml:space="preserve">Mistura</t>
  </si>
  <si>
    <t xml:space="preserve">bomba grande A</t>
  </si>
  <si>
    <t xml:space="preserve">mL/min</t>
  </si>
  <si>
    <t xml:space="preserve">rpm</t>
  </si>
  <si>
    <t xml:space="preserve">volume (mL)</t>
  </si>
  <si>
    <t xml:space="preserve">bomba pequena</t>
  </si>
  <si>
    <t xml:space="preserve">Diogenes</t>
  </si>
  <si>
    <t xml:space="preserve">bomba grande B</t>
  </si>
  <si>
    <t xml:space="preserve">bomba grande C</t>
  </si>
  <si>
    <t xml:space="preserve">Verena entrada</t>
  </si>
  <si>
    <t xml:space="preserve">medido em 30 s</t>
  </si>
  <si>
    <t xml:space="preserve">Verena saida</t>
  </si>
  <si>
    <t xml:space="preserve">verena</t>
  </si>
  <si>
    <t xml:space="preserve">reator diogenes</t>
  </si>
  <si>
    <t xml:space="preserve">reator pequeno</t>
  </si>
  <si>
    <t xml:space="preserve">reator grande</t>
  </si>
  <si>
    <t xml:space="preserve">quant ativacoes</t>
  </si>
  <si>
    <t xml:space="preserve">tempo rentencao (dia)</t>
  </si>
  <si>
    <t xml:space="preserve">tempo ativacao (min)</t>
  </si>
  <si>
    <t xml:space="preserve">volume/dia (mL)</t>
  </si>
  <si>
    <t xml:space="preserve">volume/ativacao (mL)</t>
  </si>
  <si>
    <t xml:space="preserve">volume/minuto (mL)</t>
  </si>
  <si>
    <t xml:space="preserve">curva bomba a</t>
  </si>
  <si>
    <t xml:space="preserve">Curva 2 bomba a</t>
  </si>
  <si>
    <t xml:space="preserve">Nutrientes</t>
  </si>
  <si>
    <t xml:space="preserve">Mass (mg/350ml)</t>
  </si>
  <si>
    <t xml:space="preserve">Adição (mg/L)</t>
  </si>
  <si>
    <t xml:space="preserve">Adição (g/L)</t>
  </si>
  <si>
    <t xml:space="preserve">X100 (g/L)</t>
  </si>
  <si>
    <t xml:space="preserve">X1000 (g/L)</t>
  </si>
  <si>
    <t xml:space="preserve">X2000 (g/L)</t>
  </si>
  <si>
    <t xml:space="preserve">Código</t>
  </si>
  <si>
    <t xml:space="preserve">MgSO4.7H2O</t>
  </si>
  <si>
    <t xml:space="preserve">5.5.1</t>
  </si>
  <si>
    <t xml:space="preserve">FeSO4.7H2O</t>
  </si>
  <si>
    <t xml:space="preserve">5.4.1</t>
  </si>
  <si>
    <t xml:space="preserve">CoCl2.6H2O</t>
  </si>
  <si>
    <t xml:space="preserve">2.5.4</t>
  </si>
  <si>
    <t xml:space="preserve">ZnCl2</t>
  </si>
  <si>
    <t xml:space="preserve">sem num</t>
  </si>
  <si>
    <t xml:space="preserve">NiCl2.6H2O</t>
  </si>
  <si>
    <t xml:space="preserve">2.5.8</t>
  </si>
  <si>
    <t xml:space="preserve">EDTA</t>
  </si>
  <si>
    <t xml:space="preserve">1.2.1</t>
  </si>
  <si>
    <t xml:space="preserve">CuSO4.5H2O</t>
  </si>
  <si>
    <t xml:space="preserve">5.3.1</t>
  </si>
  <si>
    <t xml:space="preserve">mL</t>
  </si>
  <si>
    <t xml:space="preserve">g/L</t>
  </si>
  <si>
    <t xml:space="preserve">1X </t>
  </si>
  <si>
    <t xml:space="preserve">100X</t>
  </si>
  <si>
    <t xml:space="preserve">1000X</t>
  </si>
  <si>
    <t xml:space="preserve">2000X </t>
  </si>
  <si>
    <t xml:space="preserve">Dados</t>
  </si>
  <si>
    <t xml:space="preserve">Calculo Alcalinidade</t>
  </si>
  <si>
    <t xml:space="preserve">Calculo AGV</t>
  </si>
  <si>
    <t xml:space="preserve">Data</t>
  </si>
  <si>
    <t xml:space="preserve">volume amostra (mL)</t>
  </si>
  <si>
    <t xml:space="preserve">pH inicial</t>
  </si>
  <si>
    <t xml:space="preserve">Volume Acido (mL)</t>
  </si>
  <si>
    <t xml:space="preserve">Alcalinidade (mg CaCO3/L)</t>
  </si>
  <si>
    <t xml:space="preserve">N acido</t>
  </si>
  <si>
    <t xml:space="preserve">Volume Base (mL)</t>
  </si>
  <si>
    <t xml:space="preserve">AGV (mg CH3COOH/L)</t>
  </si>
  <si>
    <t xml:space="preserve">N base</t>
  </si>
  <si>
    <t xml:space="preserve">AGV/Alcalinidade</t>
  </si>
  <si>
    <t xml:space="preserve">22/05/2026</t>
  </si>
  <si>
    <t xml:space="preserve">26/05/2026</t>
  </si>
  <si>
    <t xml:space="preserve">29/05/2026</t>
  </si>
  <si>
    <t xml:space="preserve">Day</t>
  </si>
  <si>
    <t xml:space="preserve">Volume (NmL)</t>
  </si>
  <si>
    <t xml:space="preserve">Flow (nML/d)</t>
  </si>
  <si>
    <t xml:space="preserve">Hour</t>
  </si>
  <si>
    <t xml:space="preserve">Flow (nML/h)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</si>
</sst>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000"/>
    <numFmt numFmtId="166" formatCode="hh:mm:ss\ AM/PM"/>
    <numFmt numFmtId="167" formatCode="0.00000"/>
    <numFmt numFmtId="168" formatCode="0"/>
    <numFmt numFmtId="169" formatCode="0.000000"/>
    <numFmt numFmtId="170" formatCode="0.00000000"/>
    <numFmt numFmtId="171" formatCode="0.000000000"/>
    <numFmt numFmtId="172" formatCode="0.0000000"/>
    <numFmt numFmtId="173" formatCode="mm/dd/yy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  <font>
      <sz val="11"/>
      <color theme="1"/>
      <name val="Calibri"/>
      <family val="2"/>
    </font>
    <font>
      <sz val="11"/>
      <color theme="1"/>
      <name val="Calibri"/>
      <family val="0"/>
    </font>
    <font>
      <sz val="10"/>
      <color rgb="FF000000"/>
      <name val="Calibri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b val="true"/>
      <sz val="11"/>
      <color theme="1"/>
      <name val="Calibri"/>
      <family val="0"/>
    </font>
  </fonts>
  <fills count="16">
    <fill>
      <patternFill patternType="none"/>
    </fill>
    <fill>
      <patternFill patternType="gray125"/>
    </fill>
    <fill>
      <patternFill patternType="solid">
        <fgColor rgb="FFAFD095"/>
        <bgColor rgb="FFB3CAC7"/>
      </patternFill>
    </fill>
    <fill>
      <patternFill patternType="solid">
        <fgColor rgb="FFFFFFA6"/>
        <bgColor rgb="FFE8F2A1"/>
      </patternFill>
    </fill>
    <fill>
      <patternFill patternType="solid">
        <fgColor rgb="FFB4C7DC"/>
        <bgColor rgb="FFB3CAC7"/>
      </patternFill>
    </fill>
    <fill>
      <patternFill patternType="solid">
        <fgColor rgb="FFB7B3CA"/>
        <bgColor rgb="FFB3B3B3"/>
      </patternFill>
    </fill>
    <fill>
      <patternFill patternType="solid">
        <fgColor rgb="FFB3CAC7"/>
        <bgColor rgb="FFB4C7DC"/>
      </patternFill>
    </fill>
    <fill>
      <patternFill patternType="solid">
        <fgColor rgb="FF8E86AE"/>
        <bgColor rgb="FF729FCF"/>
      </patternFill>
    </fill>
    <fill>
      <patternFill patternType="solid">
        <fgColor rgb="FF81ACA6"/>
        <bgColor rgb="FF729FCF"/>
      </patternFill>
    </fill>
    <fill>
      <patternFill patternType="solid">
        <fgColor rgb="FF729FCF"/>
        <bgColor rgb="FF81ACA6"/>
      </patternFill>
    </fill>
    <fill>
      <patternFill patternType="solid">
        <fgColor rgb="FF3465A4"/>
        <bgColor rgb="FF3366FF"/>
      </patternFill>
    </fill>
    <fill>
      <patternFill patternType="solid">
        <fgColor rgb="FFBF819E"/>
        <bgColor rgb="FF8E86AE"/>
      </patternFill>
    </fill>
    <fill>
      <patternFill patternType="solid">
        <fgColor rgb="FFE8F2A1"/>
        <bgColor rgb="FFFFFFA6"/>
      </patternFill>
    </fill>
    <fill>
      <patternFill patternType="solid">
        <fgColor rgb="FFA1467E"/>
        <bgColor rgb="FF993366"/>
      </patternFill>
    </fill>
    <fill>
      <patternFill patternType="solid">
        <fgColor rgb="FF77BC65"/>
        <bgColor rgb="FF81ACA6"/>
      </patternFill>
    </fill>
    <fill>
      <patternFill patternType="solid">
        <fgColor rgb="FFD4EA6B"/>
        <bgColor rgb="FFE8F2A1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2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3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3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2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2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2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3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3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3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3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2" borderId="4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2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7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3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2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4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4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4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1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0" borderId="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71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0" borderId="1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6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6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6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6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6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6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6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2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2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2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0" fillId="5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5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5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5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0" fillId="4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4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4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0" fillId="4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4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4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4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1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4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4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1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1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11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1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2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2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11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1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1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13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3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3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7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7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7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4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4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4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9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9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9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8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8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8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2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2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2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4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4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4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2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2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2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5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5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5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0" borderId="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1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3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1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7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7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9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9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8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1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5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1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5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1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1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0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0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CAC7"/>
      <rgbColor rgb="FFBF819E"/>
      <rgbColor rgb="FF729FCF"/>
      <rgbColor rgb="FFA1467E"/>
      <rgbColor rgb="FFE8F2A1"/>
      <rgbColor rgb="FFCCFFFF"/>
      <rgbColor rgb="FF660066"/>
      <rgbColor rgb="FFFF8080"/>
      <rgbColor rgb="FF0066CC"/>
      <rgbColor rgb="FFB4C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A6B"/>
      <rgbColor rgb="FFFFFFA6"/>
      <rgbColor rgb="FFB3B3B3"/>
      <rgbColor rgb="FFFF99CC"/>
      <rgbColor rgb="FFB7B3CA"/>
      <rgbColor rgb="FFAFD095"/>
      <rgbColor rgb="FF3366FF"/>
      <rgbColor rgb="FF33CCCC"/>
      <rgbColor rgb="FF77BC65"/>
      <rgbColor rgb="FFFFCC00"/>
      <rgbColor rgb="FFFF9900"/>
      <rgbColor rgb="FFFF420E"/>
      <rgbColor rgb="FF3465A4"/>
      <rgbColor rgb="FF8E86AE"/>
      <rgbColor rgb="FF004586"/>
      <rgbColor rgb="FF81ACA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'Calibracao Bombas'!$M$1</c:f>
              <c:strCache>
                <c:ptCount val="1"/>
                <c:pt idx="0">
                  <c:v>volume (mL)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  <a:prstDash val="dot"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'Calibracao Bombas'!$L$2:$L$12</c:f>
              <c:numCache>
                <c:formatCode>General</c:formatCode>
                <c:ptCount val="11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50</c:v>
                </c:pt>
                <c:pt idx="7">
                  <c:v>80</c:v>
                </c:pt>
                <c:pt idx="8">
                  <c:v>100</c:v>
                </c:pt>
                <c:pt idx="9">
                  <c:v>120</c:v>
                </c:pt>
                <c:pt idx="10">
                  <c:v>200</c:v>
                </c:pt>
              </c:numCache>
            </c:numRef>
          </c:xVal>
          <c:yVal>
            <c:numRef>
              <c:f>'Calibracao Bombas'!$M$2:$M$12</c:f>
              <c:numCache>
                <c:formatCode>General</c:formatCode>
                <c:ptCount val="11"/>
                <c:pt idx="0">
                  <c:v>1.5</c:v>
                </c:pt>
                <c:pt idx="1">
                  <c:v>4</c:v>
                </c:pt>
                <c:pt idx="2">
                  <c:v>8.9</c:v>
                </c:pt>
                <c:pt idx="3">
                  <c:v>13.3</c:v>
                </c:pt>
                <c:pt idx="4">
                  <c:v>17.5</c:v>
                </c:pt>
                <c:pt idx="5">
                  <c:v>26</c:v>
                </c:pt>
                <c:pt idx="6">
                  <c:v>44</c:v>
                </c:pt>
                <c:pt idx="7">
                  <c:v>69</c:v>
                </c:pt>
                <c:pt idx="8">
                  <c:v>87</c:v>
                </c:pt>
                <c:pt idx="9">
                  <c:v>104</c:v>
                </c:pt>
                <c:pt idx="10">
                  <c:v>168</c:v>
                </c:pt>
              </c:numCache>
            </c:numRef>
          </c:yVal>
          <c:smooth val="0"/>
        </c:ser>
        <c:axId val="4401451"/>
        <c:axId val="52973133"/>
      </c:scatterChart>
      <c:valAx>
        <c:axId val="4401451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volume (mL)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52973133"/>
        <c:crosses val="autoZero"/>
        <c:crossBetween val="midCat"/>
      </c:valAx>
      <c:valAx>
        <c:axId val="5297313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rpm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4401451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'Calibracao Bombas'!$D$1</c:f>
              <c:strCache>
                <c:ptCount val="1"/>
                <c:pt idx="0">
                  <c:v>volume (mL)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  <a:prstDash val="dot"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'Calibracao Bombas'!$C$2:$C$12</c:f>
              <c:numCache>
                <c:formatCode>0.0000</c:formatCode>
                <c:ptCount val="11"/>
                <c:pt idx="0">
                  <c:v>0.1</c:v>
                </c:pt>
                <c:pt idx="1">
                  <c:v>0.128</c:v>
                </c:pt>
                <c:pt idx="2">
                  <c:v>0.16</c:v>
                </c:pt>
                <c:pt idx="3">
                  <c:v>0.191</c:v>
                </c:pt>
                <c:pt idx="4">
                  <c:v>0.239</c:v>
                </c:pt>
                <c:pt idx="5">
                  <c:v>0.255</c:v>
                </c:pt>
                <c:pt idx="6">
                  <c:v>0.287</c:v>
                </c:pt>
                <c:pt idx="7">
                  <c:v>0.319</c:v>
                </c:pt>
                <c:pt idx="8">
                  <c:v>0.399</c:v>
                </c:pt>
                <c:pt idx="9">
                  <c:v>0.479</c:v>
                </c:pt>
                <c:pt idx="10">
                  <c:v>0.559</c:v>
                </c:pt>
              </c:numCache>
            </c:numRef>
          </c:xVal>
          <c:yVal>
            <c:numRef>
              <c:f>'Calibracao Bombas'!$D$2:$D$12</c:f>
              <c:numCache>
                <c:formatCode>0.0000</c:formatCode>
                <c:ptCount val="11"/>
                <c:pt idx="0">
                  <c:v>0.3</c:v>
                </c:pt>
                <c:pt idx="1">
                  <c:v>0.4</c:v>
                </c:pt>
                <c:pt idx="2">
                  <c:v>0.45</c:v>
                </c:pt>
                <c:pt idx="3">
                  <c:v>0.59</c:v>
                </c:pt>
                <c:pt idx="4">
                  <c:v>0.67</c:v>
                </c:pt>
                <c:pt idx="5">
                  <c:v>0.92</c:v>
                </c:pt>
                <c:pt idx="6">
                  <c:v>1.14</c:v>
                </c:pt>
                <c:pt idx="7">
                  <c:v>1.16</c:v>
                </c:pt>
                <c:pt idx="8">
                  <c:v>1.35</c:v>
                </c:pt>
                <c:pt idx="9">
                  <c:v>1.43</c:v>
                </c:pt>
                <c:pt idx="10">
                  <c:v>1.67</c:v>
                </c:pt>
              </c:numCache>
            </c:numRef>
          </c:yVal>
          <c:smooth val="0"/>
        </c:ser>
        <c:axId val="32351960"/>
        <c:axId val="56193474"/>
      </c:scatterChart>
      <c:valAx>
        <c:axId val="3235196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volume (mL)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56193474"/>
        <c:crosses val="autoZero"/>
        <c:crossBetween val="midCat"/>
      </c:valAx>
      <c:valAx>
        <c:axId val="5619347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rpm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32351960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'Calibracao Bombas'!$D$25</c:f>
              <c:strCache>
                <c:ptCount val="1"/>
                <c:pt idx="0">
                  <c:v>volume (mL)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  <a:prstDash val="dot"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'Calibracao Bombas'!$C$26:$C$36</c:f>
              <c:numCache>
                <c:formatCode>0.0000</c:formatCode>
                <c:ptCount val="11"/>
                <c:pt idx="0">
                  <c:v>0.67</c:v>
                </c:pt>
                <c:pt idx="1">
                  <c:v>0.837</c:v>
                </c:pt>
                <c:pt idx="2">
                  <c:v>0.938</c:v>
                </c:pt>
                <c:pt idx="3">
                  <c:v>1.004</c:v>
                </c:pt>
                <c:pt idx="4">
                  <c:v>1.172</c:v>
                </c:pt>
                <c:pt idx="5">
                  <c:v>1.339</c:v>
                </c:pt>
                <c:pt idx="6">
                  <c:v>1.507</c:v>
                </c:pt>
                <c:pt idx="7">
                  <c:v>1.674</c:v>
                </c:pt>
                <c:pt idx="8">
                  <c:v>1.842</c:v>
                </c:pt>
                <c:pt idx="9">
                  <c:v>2.009</c:v>
                </c:pt>
                <c:pt idx="10">
                  <c:v>2.176</c:v>
                </c:pt>
              </c:numCache>
            </c:numRef>
          </c:xVal>
          <c:yVal>
            <c:numRef>
              <c:f>'Calibracao Bombas'!$D$26:$D$36</c:f>
              <c:numCache>
                <c:formatCode>0.0000</c:formatCode>
                <c:ptCount val="11"/>
                <c:pt idx="0">
                  <c:v>1.8</c:v>
                </c:pt>
                <c:pt idx="1">
                  <c:v>2.4</c:v>
                </c:pt>
                <c:pt idx="2">
                  <c:v>3</c:v>
                </c:pt>
                <c:pt idx="3">
                  <c:v>3.2</c:v>
                </c:pt>
                <c:pt idx="4">
                  <c:v>3.6</c:v>
                </c:pt>
                <c:pt idx="5">
                  <c:v>4.2</c:v>
                </c:pt>
                <c:pt idx="6">
                  <c:v>4.8</c:v>
                </c:pt>
                <c:pt idx="7">
                  <c:v>5.4</c:v>
                </c:pt>
                <c:pt idx="8">
                  <c:v>6</c:v>
                </c:pt>
                <c:pt idx="9">
                  <c:v>6.4</c:v>
                </c:pt>
                <c:pt idx="10">
                  <c:v>7.2</c:v>
                </c:pt>
              </c:numCache>
            </c:numRef>
          </c:yVal>
          <c:smooth val="0"/>
        </c:ser>
        <c:axId val="64996061"/>
        <c:axId val="96651181"/>
      </c:scatterChart>
      <c:valAx>
        <c:axId val="6499606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volume (mL)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96651181"/>
        <c:crosses val="autoZero"/>
        <c:crossBetween val="midCat"/>
      </c:valAx>
      <c:valAx>
        <c:axId val="9665118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rpm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64996061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'Calibracao Bombas'!$K$25</c:f>
              <c:strCache>
                <c:ptCount val="1"/>
                <c:pt idx="0">
                  <c:v>mL/min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  <a:prstDash val="dot"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'Calibracao Bombas'!$J$26:$J$36</c:f>
              <c:numCache>
                <c:formatCode>General</c:formatCode>
                <c:ptCount val="11"/>
              </c:numCache>
            </c:numRef>
          </c:xVal>
          <c:yVal>
            <c:numRef>
              <c:f>'Calibracao Bombas'!$K$26:$K$36</c:f>
              <c:numCache>
                <c:formatCode>0.0000</c:formatCode>
                <c:ptCount val="11"/>
                <c:pt idx="0">
                  <c:v>1</c:v>
                </c:pt>
                <c:pt idx="1">
                  <c:v>1.5</c:v>
                </c:pt>
                <c:pt idx="2">
                  <c:v>1.8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</c:numCache>
            </c:numRef>
          </c:yVal>
          <c:smooth val="0"/>
        </c:ser>
        <c:axId val="26130516"/>
        <c:axId val="57937732"/>
      </c:scatterChart>
      <c:valAx>
        <c:axId val="2613051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volume (mL)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57937732"/>
        <c:crosses val="autoZero"/>
        <c:crossBetween val="midCat"/>
      </c:valAx>
      <c:valAx>
        <c:axId val="5793773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rpm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26130516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Production!$B$2</c:f>
              <c:strCache>
                <c:ptCount val="1"/>
                <c:pt idx="0">
                  <c:v>Volume (NmL)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Production!$A$3:$A$21</c:f>
              <c:strCach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strCache>
            </c:strRef>
          </c:cat>
          <c:val>
            <c:numRef>
              <c:f>Production!$B$3:$B$21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1.1</c:v>
                </c:pt>
                <c:pt idx="4">
                  <c:v>9.1</c:v>
                </c:pt>
                <c:pt idx="5">
                  <c:v>13.4</c:v>
                </c:pt>
                <c:pt idx="6">
                  <c:v>29.8</c:v>
                </c:pt>
                <c:pt idx="7">
                  <c:v>55.8</c:v>
                </c:pt>
                <c:pt idx="8">
                  <c:v>124.6</c:v>
                </c:pt>
                <c:pt idx="9">
                  <c:v>149.1</c:v>
                </c:pt>
                <c:pt idx="10">
                  <c:v>217.4</c:v>
                </c:pt>
                <c:pt idx="11">
                  <c:v>267.9</c:v>
                </c:pt>
                <c:pt idx="12">
                  <c:v>305.8</c:v>
                </c:pt>
                <c:pt idx="13">
                  <c:v>350.2</c:v>
                </c:pt>
                <c:pt idx="14">
                  <c:v>393.7</c:v>
                </c:pt>
                <c:pt idx="15">
                  <c:v>430.7</c:v>
                </c:pt>
                <c:pt idx="16">
                  <c:v>478.4</c:v>
                </c:pt>
                <c:pt idx="17">
                  <c:v>522.9</c:v>
                </c:pt>
                <c:pt idx="18">
                  <c:v>555</c:v>
                </c:pt>
              </c:numCache>
            </c:numRef>
          </c:val>
        </c:ser>
        <c:gapWidth val="100"/>
        <c:overlap val="0"/>
        <c:axId val="89589174"/>
        <c:axId val="35192783"/>
      </c:barChart>
      <c:lineChart>
        <c:grouping val="standard"/>
        <c:varyColors val="0"/>
        <c:ser>
          <c:idx val="1"/>
          <c:order val="1"/>
          <c:tx>
            <c:strRef>
              <c:f>Production!$C$2</c:f>
              <c:strCache>
                <c:ptCount val="1"/>
                <c:pt idx="0">
                  <c:v>Flow (nML/d)</c:v>
                </c:pt>
              </c:strCache>
            </c:strRef>
          </c:tx>
          <c:spPr>
            <a:solidFill>
              <a:srgbClr val="ff420e"/>
            </a:solidFill>
            <a:ln w="0">
              <a:solidFill>
                <a:srgbClr val="ff420e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Production!$A$3:$A$21</c:f>
              <c:strCach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strCache>
            </c:strRef>
          </c:cat>
          <c:val>
            <c:numRef>
              <c:f>Production!$C$3:$C$21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1.1</c:v>
                </c:pt>
                <c:pt idx="4">
                  <c:v>8</c:v>
                </c:pt>
                <c:pt idx="5">
                  <c:v>4.4</c:v>
                </c:pt>
                <c:pt idx="6">
                  <c:v>16.4</c:v>
                </c:pt>
                <c:pt idx="7">
                  <c:v>25.9</c:v>
                </c:pt>
                <c:pt idx="8">
                  <c:v>68.9</c:v>
                </c:pt>
                <c:pt idx="9">
                  <c:v>24.4</c:v>
                </c:pt>
                <c:pt idx="10">
                  <c:v>68.3</c:v>
                </c:pt>
                <c:pt idx="11">
                  <c:v>50.5</c:v>
                </c:pt>
                <c:pt idx="12">
                  <c:v>37.9</c:v>
                </c:pt>
                <c:pt idx="13">
                  <c:v>44.4</c:v>
                </c:pt>
                <c:pt idx="14">
                  <c:v>43.4</c:v>
                </c:pt>
                <c:pt idx="15">
                  <c:v>37</c:v>
                </c:pt>
                <c:pt idx="16">
                  <c:v>47.7</c:v>
                </c:pt>
                <c:pt idx="17">
                  <c:v>44.5</c:v>
                </c:pt>
                <c:pt idx="18">
                  <c:v>36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9589174"/>
        <c:axId val="35192783"/>
      </c:lineChart>
      <c:catAx>
        <c:axId val="8958917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35192783"/>
        <c:crosses val="autoZero"/>
        <c:auto val="1"/>
        <c:lblAlgn val="ctr"/>
        <c:lblOffset val="100"/>
        <c:noMultiLvlLbl val="0"/>
      </c:catAx>
      <c:valAx>
        <c:axId val="3519278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89589174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Production!$F$2</c:f>
              <c:strCache>
                <c:ptCount val="1"/>
                <c:pt idx="0">
                  <c:v>Volume (NmL)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Production!$E$3:$E$433</c:f>
              <c:strCache>
                <c:ptCount val="4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</c:strCache>
            </c:strRef>
          </c:cat>
          <c:val>
            <c:numRef>
              <c:f>Production!$F$3:$F$433</c:f>
              <c:numCache>
                <c:formatCode>General</c:formatCode>
                <c:ptCount val="4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0.4</c:v>
                </c:pt>
                <c:pt idx="71">
                  <c:v>0.9</c:v>
                </c:pt>
                <c:pt idx="72">
                  <c:v>1.1</c:v>
                </c:pt>
                <c:pt idx="73">
                  <c:v>1.1</c:v>
                </c:pt>
                <c:pt idx="74">
                  <c:v>1.2</c:v>
                </c:pt>
                <c:pt idx="75">
                  <c:v>1.2</c:v>
                </c:pt>
                <c:pt idx="76">
                  <c:v>1.3</c:v>
                </c:pt>
                <c:pt idx="77">
                  <c:v>1.3</c:v>
                </c:pt>
                <c:pt idx="78">
                  <c:v>1.4</c:v>
                </c:pt>
                <c:pt idx="79">
                  <c:v>1.4</c:v>
                </c:pt>
                <c:pt idx="80">
                  <c:v>1.5</c:v>
                </c:pt>
                <c:pt idx="81">
                  <c:v>1.5</c:v>
                </c:pt>
                <c:pt idx="82">
                  <c:v>1.6</c:v>
                </c:pt>
                <c:pt idx="83">
                  <c:v>1.6</c:v>
                </c:pt>
                <c:pt idx="84">
                  <c:v>1.7</c:v>
                </c:pt>
                <c:pt idx="85">
                  <c:v>1.7</c:v>
                </c:pt>
                <c:pt idx="86">
                  <c:v>1.8</c:v>
                </c:pt>
                <c:pt idx="87">
                  <c:v>1.8</c:v>
                </c:pt>
                <c:pt idx="88">
                  <c:v>1.9</c:v>
                </c:pt>
                <c:pt idx="89">
                  <c:v>1.9</c:v>
                </c:pt>
                <c:pt idx="90">
                  <c:v>2</c:v>
                </c:pt>
                <c:pt idx="91">
                  <c:v>2</c:v>
                </c:pt>
                <c:pt idx="92">
                  <c:v>2.5</c:v>
                </c:pt>
                <c:pt idx="93">
                  <c:v>3.1</c:v>
                </c:pt>
                <c:pt idx="94">
                  <c:v>5.6</c:v>
                </c:pt>
                <c:pt idx="95">
                  <c:v>6.7</c:v>
                </c:pt>
                <c:pt idx="96">
                  <c:v>9.1</c:v>
                </c:pt>
                <c:pt idx="97">
                  <c:v>9.2</c:v>
                </c:pt>
                <c:pt idx="98">
                  <c:v>9.3</c:v>
                </c:pt>
                <c:pt idx="99">
                  <c:v>9.4</c:v>
                </c:pt>
                <c:pt idx="100">
                  <c:v>9.5</c:v>
                </c:pt>
                <c:pt idx="101">
                  <c:v>9.6</c:v>
                </c:pt>
                <c:pt idx="102">
                  <c:v>9.7</c:v>
                </c:pt>
                <c:pt idx="103">
                  <c:v>9.8</c:v>
                </c:pt>
                <c:pt idx="104">
                  <c:v>9.9</c:v>
                </c:pt>
                <c:pt idx="105">
                  <c:v>10</c:v>
                </c:pt>
                <c:pt idx="106">
                  <c:v>10.1</c:v>
                </c:pt>
                <c:pt idx="107">
                  <c:v>10.2</c:v>
                </c:pt>
                <c:pt idx="108">
                  <c:v>10.3</c:v>
                </c:pt>
                <c:pt idx="109">
                  <c:v>10.4</c:v>
                </c:pt>
                <c:pt idx="110">
                  <c:v>10.5</c:v>
                </c:pt>
                <c:pt idx="111">
                  <c:v>10.6</c:v>
                </c:pt>
                <c:pt idx="112">
                  <c:v>10.7</c:v>
                </c:pt>
                <c:pt idx="113">
                  <c:v>10.8</c:v>
                </c:pt>
                <c:pt idx="114">
                  <c:v>10.9</c:v>
                </c:pt>
                <c:pt idx="115">
                  <c:v>11</c:v>
                </c:pt>
                <c:pt idx="116">
                  <c:v>11.1</c:v>
                </c:pt>
                <c:pt idx="117">
                  <c:v>11.2</c:v>
                </c:pt>
                <c:pt idx="118">
                  <c:v>11.3</c:v>
                </c:pt>
                <c:pt idx="119">
                  <c:v>11.5</c:v>
                </c:pt>
                <c:pt idx="120">
                  <c:v>13.4</c:v>
                </c:pt>
                <c:pt idx="121">
                  <c:v>15.3</c:v>
                </c:pt>
                <c:pt idx="122">
                  <c:v>16.9</c:v>
                </c:pt>
                <c:pt idx="123">
                  <c:v>17</c:v>
                </c:pt>
                <c:pt idx="124">
                  <c:v>17.2</c:v>
                </c:pt>
                <c:pt idx="125">
                  <c:v>17.3</c:v>
                </c:pt>
                <c:pt idx="126">
                  <c:v>17.5</c:v>
                </c:pt>
                <c:pt idx="127">
                  <c:v>17.7</c:v>
                </c:pt>
                <c:pt idx="128">
                  <c:v>17.8</c:v>
                </c:pt>
                <c:pt idx="129">
                  <c:v>18</c:v>
                </c:pt>
                <c:pt idx="130">
                  <c:v>18.1</c:v>
                </c:pt>
                <c:pt idx="131">
                  <c:v>18.3</c:v>
                </c:pt>
                <c:pt idx="132">
                  <c:v>18.4</c:v>
                </c:pt>
                <c:pt idx="133">
                  <c:v>18.6</c:v>
                </c:pt>
                <c:pt idx="134">
                  <c:v>18.8</c:v>
                </c:pt>
                <c:pt idx="135">
                  <c:v>18.9</c:v>
                </c:pt>
                <c:pt idx="136">
                  <c:v>19.1</c:v>
                </c:pt>
                <c:pt idx="137">
                  <c:v>19.2</c:v>
                </c:pt>
                <c:pt idx="138">
                  <c:v>19.4</c:v>
                </c:pt>
                <c:pt idx="139">
                  <c:v>19.5</c:v>
                </c:pt>
                <c:pt idx="140">
                  <c:v>19.7</c:v>
                </c:pt>
                <c:pt idx="141">
                  <c:v>19.8</c:v>
                </c:pt>
                <c:pt idx="142">
                  <c:v>24.7</c:v>
                </c:pt>
                <c:pt idx="143">
                  <c:v>27.2</c:v>
                </c:pt>
                <c:pt idx="144">
                  <c:v>29.8</c:v>
                </c:pt>
                <c:pt idx="145">
                  <c:v>32.8</c:v>
                </c:pt>
                <c:pt idx="146">
                  <c:v>34.3</c:v>
                </c:pt>
                <c:pt idx="147">
                  <c:v>34.5</c:v>
                </c:pt>
                <c:pt idx="148">
                  <c:v>34.7</c:v>
                </c:pt>
                <c:pt idx="149">
                  <c:v>34.9</c:v>
                </c:pt>
                <c:pt idx="150">
                  <c:v>35.1</c:v>
                </c:pt>
                <c:pt idx="151">
                  <c:v>35.3</c:v>
                </c:pt>
                <c:pt idx="152">
                  <c:v>35.6</c:v>
                </c:pt>
                <c:pt idx="153">
                  <c:v>35.8</c:v>
                </c:pt>
                <c:pt idx="154">
                  <c:v>36</c:v>
                </c:pt>
                <c:pt idx="155">
                  <c:v>36.2</c:v>
                </c:pt>
                <c:pt idx="156">
                  <c:v>36.4</c:v>
                </c:pt>
                <c:pt idx="157">
                  <c:v>36.6</c:v>
                </c:pt>
                <c:pt idx="158">
                  <c:v>36.8</c:v>
                </c:pt>
                <c:pt idx="159">
                  <c:v>37</c:v>
                </c:pt>
                <c:pt idx="160">
                  <c:v>37.2</c:v>
                </c:pt>
                <c:pt idx="161">
                  <c:v>37.4</c:v>
                </c:pt>
                <c:pt idx="162">
                  <c:v>37.6</c:v>
                </c:pt>
                <c:pt idx="163">
                  <c:v>37.8</c:v>
                </c:pt>
                <c:pt idx="164">
                  <c:v>38</c:v>
                </c:pt>
                <c:pt idx="165">
                  <c:v>38.9</c:v>
                </c:pt>
                <c:pt idx="166">
                  <c:v>49.5</c:v>
                </c:pt>
                <c:pt idx="167">
                  <c:v>53</c:v>
                </c:pt>
                <c:pt idx="168">
                  <c:v>55.8</c:v>
                </c:pt>
                <c:pt idx="169">
                  <c:v>56.2</c:v>
                </c:pt>
                <c:pt idx="170">
                  <c:v>56.6</c:v>
                </c:pt>
                <c:pt idx="171">
                  <c:v>56.9</c:v>
                </c:pt>
                <c:pt idx="172">
                  <c:v>57.2</c:v>
                </c:pt>
                <c:pt idx="173">
                  <c:v>57.5</c:v>
                </c:pt>
                <c:pt idx="174">
                  <c:v>57.9</c:v>
                </c:pt>
                <c:pt idx="175">
                  <c:v>58.2</c:v>
                </c:pt>
                <c:pt idx="176">
                  <c:v>58.5</c:v>
                </c:pt>
                <c:pt idx="177">
                  <c:v>58.9</c:v>
                </c:pt>
                <c:pt idx="178">
                  <c:v>59.2</c:v>
                </c:pt>
                <c:pt idx="179">
                  <c:v>59.5</c:v>
                </c:pt>
                <c:pt idx="180">
                  <c:v>59.9</c:v>
                </c:pt>
                <c:pt idx="181">
                  <c:v>60.2</c:v>
                </c:pt>
                <c:pt idx="182">
                  <c:v>60.5</c:v>
                </c:pt>
                <c:pt idx="183">
                  <c:v>61</c:v>
                </c:pt>
                <c:pt idx="184">
                  <c:v>61.7</c:v>
                </c:pt>
                <c:pt idx="185">
                  <c:v>62.4</c:v>
                </c:pt>
                <c:pt idx="186">
                  <c:v>63.2</c:v>
                </c:pt>
                <c:pt idx="187">
                  <c:v>63.9</c:v>
                </c:pt>
                <c:pt idx="188">
                  <c:v>64.6</c:v>
                </c:pt>
                <c:pt idx="189">
                  <c:v>65.3</c:v>
                </c:pt>
                <c:pt idx="190">
                  <c:v>74.1</c:v>
                </c:pt>
                <c:pt idx="191">
                  <c:v>116.8</c:v>
                </c:pt>
                <c:pt idx="192">
                  <c:v>124.6</c:v>
                </c:pt>
                <c:pt idx="193">
                  <c:v>128.6</c:v>
                </c:pt>
                <c:pt idx="194">
                  <c:v>128.9</c:v>
                </c:pt>
                <c:pt idx="195">
                  <c:v>129.2</c:v>
                </c:pt>
                <c:pt idx="196">
                  <c:v>129.5</c:v>
                </c:pt>
                <c:pt idx="197">
                  <c:v>129.8</c:v>
                </c:pt>
                <c:pt idx="198">
                  <c:v>130.1</c:v>
                </c:pt>
                <c:pt idx="199">
                  <c:v>130.3</c:v>
                </c:pt>
                <c:pt idx="200">
                  <c:v>130.6</c:v>
                </c:pt>
                <c:pt idx="201">
                  <c:v>130.9</c:v>
                </c:pt>
                <c:pt idx="202">
                  <c:v>131.2</c:v>
                </c:pt>
                <c:pt idx="203">
                  <c:v>131.5</c:v>
                </c:pt>
                <c:pt idx="204">
                  <c:v>131.8</c:v>
                </c:pt>
                <c:pt idx="205">
                  <c:v>132</c:v>
                </c:pt>
                <c:pt idx="206">
                  <c:v>132.3</c:v>
                </c:pt>
                <c:pt idx="207">
                  <c:v>132.6</c:v>
                </c:pt>
                <c:pt idx="208">
                  <c:v>132.9</c:v>
                </c:pt>
                <c:pt idx="209">
                  <c:v>133.2</c:v>
                </c:pt>
                <c:pt idx="210">
                  <c:v>133.5</c:v>
                </c:pt>
                <c:pt idx="211">
                  <c:v>133.7</c:v>
                </c:pt>
                <c:pt idx="212">
                  <c:v>134</c:v>
                </c:pt>
                <c:pt idx="213">
                  <c:v>134.3</c:v>
                </c:pt>
                <c:pt idx="214">
                  <c:v>136.7</c:v>
                </c:pt>
                <c:pt idx="215">
                  <c:v>143.7</c:v>
                </c:pt>
                <c:pt idx="216">
                  <c:v>149.1</c:v>
                </c:pt>
                <c:pt idx="217">
                  <c:v>153.8</c:v>
                </c:pt>
                <c:pt idx="218">
                  <c:v>157.3</c:v>
                </c:pt>
                <c:pt idx="219">
                  <c:v>160.5</c:v>
                </c:pt>
                <c:pt idx="220">
                  <c:v>163.1</c:v>
                </c:pt>
                <c:pt idx="221">
                  <c:v>165.7</c:v>
                </c:pt>
                <c:pt idx="222">
                  <c:v>167.5</c:v>
                </c:pt>
                <c:pt idx="223">
                  <c:v>169.4</c:v>
                </c:pt>
                <c:pt idx="224">
                  <c:v>171.2</c:v>
                </c:pt>
                <c:pt idx="225">
                  <c:v>172.4</c:v>
                </c:pt>
                <c:pt idx="226">
                  <c:v>173.1</c:v>
                </c:pt>
                <c:pt idx="227">
                  <c:v>173.9</c:v>
                </c:pt>
                <c:pt idx="228">
                  <c:v>174.6</c:v>
                </c:pt>
                <c:pt idx="229">
                  <c:v>175.4</c:v>
                </c:pt>
                <c:pt idx="230">
                  <c:v>176.1</c:v>
                </c:pt>
                <c:pt idx="231">
                  <c:v>176.9</c:v>
                </c:pt>
                <c:pt idx="232">
                  <c:v>177.6</c:v>
                </c:pt>
                <c:pt idx="233">
                  <c:v>178.4</c:v>
                </c:pt>
                <c:pt idx="234">
                  <c:v>179.8</c:v>
                </c:pt>
                <c:pt idx="235">
                  <c:v>181.3</c:v>
                </c:pt>
                <c:pt idx="236">
                  <c:v>182.8</c:v>
                </c:pt>
                <c:pt idx="237">
                  <c:v>184.3</c:v>
                </c:pt>
                <c:pt idx="238">
                  <c:v>198.3</c:v>
                </c:pt>
                <c:pt idx="239">
                  <c:v>207.8</c:v>
                </c:pt>
                <c:pt idx="240">
                  <c:v>217.4</c:v>
                </c:pt>
                <c:pt idx="241">
                  <c:v>222.8</c:v>
                </c:pt>
                <c:pt idx="242">
                  <c:v>226.8</c:v>
                </c:pt>
                <c:pt idx="243">
                  <c:v>230.2</c:v>
                </c:pt>
                <c:pt idx="244">
                  <c:v>232.8</c:v>
                </c:pt>
                <c:pt idx="245">
                  <c:v>235</c:v>
                </c:pt>
                <c:pt idx="246">
                  <c:v>237.3</c:v>
                </c:pt>
                <c:pt idx="247">
                  <c:v>238.7</c:v>
                </c:pt>
                <c:pt idx="248">
                  <c:v>239.6</c:v>
                </c:pt>
                <c:pt idx="249">
                  <c:v>240.6</c:v>
                </c:pt>
                <c:pt idx="250">
                  <c:v>241.6</c:v>
                </c:pt>
                <c:pt idx="251">
                  <c:v>242.5</c:v>
                </c:pt>
                <c:pt idx="252">
                  <c:v>243.5</c:v>
                </c:pt>
                <c:pt idx="253">
                  <c:v>244.4</c:v>
                </c:pt>
                <c:pt idx="254">
                  <c:v>245.4</c:v>
                </c:pt>
                <c:pt idx="255">
                  <c:v>246.2</c:v>
                </c:pt>
                <c:pt idx="256">
                  <c:v>247.1</c:v>
                </c:pt>
                <c:pt idx="257">
                  <c:v>247.9</c:v>
                </c:pt>
                <c:pt idx="258">
                  <c:v>248.8</c:v>
                </c:pt>
                <c:pt idx="259">
                  <c:v>249.6</c:v>
                </c:pt>
                <c:pt idx="260">
                  <c:v>250.5</c:v>
                </c:pt>
                <c:pt idx="261">
                  <c:v>251.4</c:v>
                </c:pt>
                <c:pt idx="262">
                  <c:v>256.9</c:v>
                </c:pt>
                <c:pt idx="263">
                  <c:v>265.6</c:v>
                </c:pt>
                <c:pt idx="264">
                  <c:v>267.9</c:v>
                </c:pt>
                <c:pt idx="265">
                  <c:v>270.2</c:v>
                </c:pt>
                <c:pt idx="266">
                  <c:v>272.4</c:v>
                </c:pt>
                <c:pt idx="267">
                  <c:v>272.9</c:v>
                </c:pt>
                <c:pt idx="268">
                  <c:v>273.4</c:v>
                </c:pt>
                <c:pt idx="269">
                  <c:v>273.9</c:v>
                </c:pt>
                <c:pt idx="270">
                  <c:v>274.4</c:v>
                </c:pt>
                <c:pt idx="271">
                  <c:v>274.9</c:v>
                </c:pt>
                <c:pt idx="272">
                  <c:v>275.4</c:v>
                </c:pt>
                <c:pt idx="273">
                  <c:v>275.9</c:v>
                </c:pt>
                <c:pt idx="274">
                  <c:v>276.4</c:v>
                </c:pt>
                <c:pt idx="275">
                  <c:v>276.9</c:v>
                </c:pt>
                <c:pt idx="276">
                  <c:v>277.5</c:v>
                </c:pt>
                <c:pt idx="277">
                  <c:v>278</c:v>
                </c:pt>
                <c:pt idx="278">
                  <c:v>278.5</c:v>
                </c:pt>
                <c:pt idx="279">
                  <c:v>279</c:v>
                </c:pt>
                <c:pt idx="280">
                  <c:v>279.7</c:v>
                </c:pt>
                <c:pt idx="281">
                  <c:v>280.9</c:v>
                </c:pt>
                <c:pt idx="282">
                  <c:v>282.1</c:v>
                </c:pt>
                <c:pt idx="283">
                  <c:v>283.4</c:v>
                </c:pt>
                <c:pt idx="284">
                  <c:v>284.6</c:v>
                </c:pt>
                <c:pt idx="285">
                  <c:v>285.8</c:v>
                </c:pt>
                <c:pt idx="286">
                  <c:v>296.4</c:v>
                </c:pt>
                <c:pt idx="287">
                  <c:v>301.4</c:v>
                </c:pt>
                <c:pt idx="288">
                  <c:v>305.8</c:v>
                </c:pt>
                <c:pt idx="289">
                  <c:v>308.3</c:v>
                </c:pt>
                <c:pt idx="290">
                  <c:v>309.7</c:v>
                </c:pt>
                <c:pt idx="291">
                  <c:v>311.1</c:v>
                </c:pt>
                <c:pt idx="292">
                  <c:v>312.5</c:v>
                </c:pt>
                <c:pt idx="293">
                  <c:v>313.9</c:v>
                </c:pt>
                <c:pt idx="294">
                  <c:v>314.9</c:v>
                </c:pt>
                <c:pt idx="295">
                  <c:v>315.6</c:v>
                </c:pt>
                <c:pt idx="296">
                  <c:v>316.3</c:v>
                </c:pt>
                <c:pt idx="297">
                  <c:v>317</c:v>
                </c:pt>
                <c:pt idx="298">
                  <c:v>317.7</c:v>
                </c:pt>
                <c:pt idx="299">
                  <c:v>318.4</c:v>
                </c:pt>
                <c:pt idx="300">
                  <c:v>319.1</c:v>
                </c:pt>
                <c:pt idx="301">
                  <c:v>319.8</c:v>
                </c:pt>
                <c:pt idx="302">
                  <c:v>320.5</c:v>
                </c:pt>
                <c:pt idx="303">
                  <c:v>321.2</c:v>
                </c:pt>
                <c:pt idx="304">
                  <c:v>322.2</c:v>
                </c:pt>
                <c:pt idx="305">
                  <c:v>323.4</c:v>
                </c:pt>
                <c:pt idx="306">
                  <c:v>324.6</c:v>
                </c:pt>
                <c:pt idx="307">
                  <c:v>325.7</c:v>
                </c:pt>
                <c:pt idx="308">
                  <c:v>326.9</c:v>
                </c:pt>
                <c:pt idx="309">
                  <c:v>328.1</c:v>
                </c:pt>
                <c:pt idx="310">
                  <c:v>340.5</c:v>
                </c:pt>
                <c:pt idx="311">
                  <c:v>346.1</c:v>
                </c:pt>
                <c:pt idx="312">
                  <c:v>350.2</c:v>
                </c:pt>
                <c:pt idx="313">
                  <c:v>352</c:v>
                </c:pt>
                <c:pt idx="314">
                  <c:v>353.9</c:v>
                </c:pt>
                <c:pt idx="315">
                  <c:v>355.7</c:v>
                </c:pt>
                <c:pt idx="316">
                  <c:v>357.3</c:v>
                </c:pt>
                <c:pt idx="317">
                  <c:v>358.2</c:v>
                </c:pt>
                <c:pt idx="318">
                  <c:v>359.1</c:v>
                </c:pt>
                <c:pt idx="319">
                  <c:v>360</c:v>
                </c:pt>
                <c:pt idx="320">
                  <c:v>360.9</c:v>
                </c:pt>
                <c:pt idx="321">
                  <c:v>361.8</c:v>
                </c:pt>
                <c:pt idx="322">
                  <c:v>362.7</c:v>
                </c:pt>
                <c:pt idx="323">
                  <c:v>363.6</c:v>
                </c:pt>
                <c:pt idx="324">
                  <c:v>364.5</c:v>
                </c:pt>
                <c:pt idx="325">
                  <c:v>365.6</c:v>
                </c:pt>
                <c:pt idx="326">
                  <c:v>366.7</c:v>
                </c:pt>
                <c:pt idx="327">
                  <c:v>367.9</c:v>
                </c:pt>
                <c:pt idx="328">
                  <c:v>369</c:v>
                </c:pt>
                <c:pt idx="329">
                  <c:v>370.1</c:v>
                </c:pt>
                <c:pt idx="330">
                  <c:v>371.2</c:v>
                </c:pt>
                <c:pt idx="331">
                  <c:v>373.2</c:v>
                </c:pt>
                <c:pt idx="332">
                  <c:v>375.5</c:v>
                </c:pt>
                <c:pt idx="333">
                  <c:v>377.8</c:v>
                </c:pt>
                <c:pt idx="334">
                  <c:v>389.8</c:v>
                </c:pt>
                <c:pt idx="335">
                  <c:v>393.3</c:v>
                </c:pt>
                <c:pt idx="336">
                  <c:v>393.7</c:v>
                </c:pt>
                <c:pt idx="337">
                  <c:v>394</c:v>
                </c:pt>
                <c:pt idx="338">
                  <c:v>394.4</c:v>
                </c:pt>
                <c:pt idx="339">
                  <c:v>394.8</c:v>
                </c:pt>
                <c:pt idx="340">
                  <c:v>395.2</c:v>
                </c:pt>
                <c:pt idx="341">
                  <c:v>395.5</c:v>
                </c:pt>
                <c:pt idx="342">
                  <c:v>395.9</c:v>
                </c:pt>
                <c:pt idx="343">
                  <c:v>396.3</c:v>
                </c:pt>
                <c:pt idx="344">
                  <c:v>396.7</c:v>
                </c:pt>
                <c:pt idx="345">
                  <c:v>397</c:v>
                </c:pt>
                <c:pt idx="346">
                  <c:v>397.4</c:v>
                </c:pt>
                <c:pt idx="347">
                  <c:v>397.8</c:v>
                </c:pt>
                <c:pt idx="348">
                  <c:v>398.1</c:v>
                </c:pt>
                <c:pt idx="349">
                  <c:v>398.5</c:v>
                </c:pt>
                <c:pt idx="350">
                  <c:v>398.9</c:v>
                </c:pt>
                <c:pt idx="351">
                  <c:v>399.3</c:v>
                </c:pt>
                <c:pt idx="352">
                  <c:v>399.6</c:v>
                </c:pt>
                <c:pt idx="353">
                  <c:v>400</c:v>
                </c:pt>
                <c:pt idx="354">
                  <c:v>400.4</c:v>
                </c:pt>
                <c:pt idx="355">
                  <c:v>402.6</c:v>
                </c:pt>
                <c:pt idx="356">
                  <c:v>404.7</c:v>
                </c:pt>
                <c:pt idx="357">
                  <c:v>406.8</c:v>
                </c:pt>
                <c:pt idx="358">
                  <c:v>420.1</c:v>
                </c:pt>
                <c:pt idx="359">
                  <c:v>426.9</c:v>
                </c:pt>
                <c:pt idx="360">
                  <c:v>430.7</c:v>
                </c:pt>
                <c:pt idx="361">
                  <c:v>432.8</c:v>
                </c:pt>
                <c:pt idx="362">
                  <c:v>434.9</c:v>
                </c:pt>
                <c:pt idx="363">
                  <c:v>436.9</c:v>
                </c:pt>
                <c:pt idx="364">
                  <c:v>438.1</c:v>
                </c:pt>
                <c:pt idx="365">
                  <c:v>439.4</c:v>
                </c:pt>
                <c:pt idx="366">
                  <c:v>440.6</c:v>
                </c:pt>
                <c:pt idx="367">
                  <c:v>441.8</c:v>
                </c:pt>
                <c:pt idx="368">
                  <c:v>443</c:v>
                </c:pt>
                <c:pt idx="369">
                  <c:v>444.2</c:v>
                </c:pt>
                <c:pt idx="370">
                  <c:v>445.3</c:v>
                </c:pt>
                <c:pt idx="371">
                  <c:v>446.4</c:v>
                </c:pt>
                <c:pt idx="372">
                  <c:v>447.6</c:v>
                </c:pt>
                <c:pt idx="373">
                  <c:v>448.7</c:v>
                </c:pt>
                <c:pt idx="374">
                  <c:v>449.8</c:v>
                </c:pt>
                <c:pt idx="375">
                  <c:v>450.9</c:v>
                </c:pt>
                <c:pt idx="376">
                  <c:v>452.1</c:v>
                </c:pt>
                <c:pt idx="377">
                  <c:v>453.5</c:v>
                </c:pt>
                <c:pt idx="378">
                  <c:v>454.9</c:v>
                </c:pt>
                <c:pt idx="379">
                  <c:v>456.3</c:v>
                </c:pt>
                <c:pt idx="380">
                  <c:v>457.7</c:v>
                </c:pt>
                <c:pt idx="381">
                  <c:v>461.2</c:v>
                </c:pt>
                <c:pt idx="382">
                  <c:v>471.3</c:v>
                </c:pt>
                <c:pt idx="383">
                  <c:v>475.6</c:v>
                </c:pt>
                <c:pt idx="384">
                  <c:v>478.4</c:v>
                </c:pt>
                <c:pt idx="385">
                  <c:v>481</c:v>
                </c:pt>
                <c:pt idx="386">
                  <c:v>482.2</c:v>
                </c:pt>
                <c:pt idx="387">
                  <c:v>483.4</c:v>
                </c:pt>
                <c:pt idx="388">
                  <c:v>484.6</c:v>
                </c:pt>
                <c:pt idx="389">
                  <c:v>485.8</c:v>
                </c:pt>
                <c:pt idx="390">
                  <c:v>487</c:v>
                </c:pt>
                <c:pt idx="391">
                  <c:v>488.2</c:v>
                </c:pt>
                <c:pt idx="392">
                  <c:v>489.3</c:v>
                </c:pt>
                <c:pt idx="393">
                  <c:v>490.3</c:v>
                </c:pt>
                <c:pt idx="394">
                  <c:v>491.4</c:v>
                </c:pt>
                <c:pt idx="395">
                  <c:v>492.5</c:v>
                </c:pt>
                <c:pt idx="396">
                  <c:v>493.6</c:v>
                </c:pt>
                <c:pt idx="397">
                  <c:v>494.7</c:v>
                </c:pt>
                <c:pt idx="398">
                  <c:v>495.8</c:v>
                </c:pt>
                <c:pt idx="399">
                  <c:v>497</c:v>
                </c:pt>
                <c:pt idx="400">
                  <c:v>498.3</c:v>
                </c:pt>
                <c:pt idx="401">
                  <c:v>499.5</c:v>
                </c:pt>
                <c:pt idx="402">
                  <c:v>500.7</c:v>
                </c:pt>
                <c:pt idx="403">
                  <c:v>502</c:v>
                </c:pt>
                <c:pt idx="404">
                  <c:v>504</c:v>
                </c:pt>
                <c:pt idx="405">
                  <c:v>508.5</c:v>
                </c:pt>
                <c:pt idx="406">
                  <c:v>518</c:v>
                </c:pt>
                <c:pt idx="407">
                  <c:v>520.4</c:v>
                </c:pt>
                <c:pt idx="408">
                  <c:v>522.9</c:v>
                </c:pt>
                <c:pt idx="409">
                  <c:v>525.3</c:v>
                </c:pt>
                <c:pt idx="410">
                  <c:v>526.8</c:v>
                </c:pt>
                <c:pt idx="411">
                  <c:v>528.3</c:v>
                </c:pt>
                <c:pt idx="412">
                  <c:v>529.8</c:v>
                </c:pt>
                <c:pt idx="413">
                  <c:v>531.3</c:v>
                </c:pt>
                <c:pt idx="414">
                  <c:v>532.7</c:v>
                </c:pt>
                <c:pt idx="415">
                  <c:v>533.6</c:v>
                </c:pt>
                <c:pt idx="416">
                  <c:v>534.5</c:v>
                </c:pt>
                <c:pt idx="417">
                  <c:v>535.4</c:v>
                </c:pt>
                <c:pt idx="418">
                  <c:v>536.4</c:v>
                </c:pt>
                <c:pt idx="419">
                  <c:v>537.3</c:v>
                </c:pt>
                <c:pt idx="420">
                  <c:v>538.2</c:v>
                </c:pt>
                <c:pt idx="421">
                  <c:v>539.1</c:v>
                </c:pt>
                <c:pt idx="422">
                  <c:v>540.1</c:v>
                </c:pt>
                <c:pt idx="423">
                  <c:v>541.5</c:v>
                </c:pt>
                <c:pt idx="424">
                  <c:v>542.9</c:v>
                </c:pt>
                <c:pt idx="425">
                  <c:v>544.3</c:v>
                </c:pt>
                <c:pt idx="426">
                  <c:v>545.7</c:v>
                </c:pt>
                <c:pt idx="427">
                  <c:v>547.1</c:v>
                </c:pt>
                <c:pt idx="428">
                  <c:v>550</c:v>
                </c:pt>
                <c:pt idx="429">
                  <c:v>553.6</c:v>
                </c:pt>
                <c:pt idx="430">
                  <c:v>555</c:v>
                </c:pt>
              </c:numCache>
            </c:numRef>
          </c:val>
        </c:ser>
        <c:gapWidth val="100"/>
        <c:overlap val="0"/>
        <c:axId val="18753749"/>
        <c:axId val="45397375"/>
      </c:barChart>
      <c:lineChart>
        <c:grouping val="standard"/>
        <c:varyColors val="0"/>
        <c:ser>
          <c:idx val="1"/>
          <c:order val="1"/>
          <c:tx>
            <c:strRef>
              <c:f>Production!$G$2</c:f>
              <c:strCache>
                <c:ptCount val="1"/>
                <c:pt idx="0">
                  <c:v>Flow (nML/h)</c:v>
                </c:pt>
              </c:strCache>
            </c:strRef>
          </c:tx>
          <c:spPr>
            <a:solidFill>
              <a:srgbClr val="ff420e"/>
            </a:solidFill>
            <a:ln w="0">
              <a:solidFill>
                <a:srgbClr val="ff420e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Production!$E$3:$E$433</c:f>
              <c:strCache>
                <c:ptCount val="4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</c:strCache>
            </c:strRef>
          </c:cat>
          <c:val>
            <c:numRef>
              <c:f>Production!$G$3:$G$433</c:f>
              <c:numCache>
                <c:formatCode>General</c:formatCode>
                <c:ptCount val="4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0.4</c:v>
                </c:pt>
                <c:pt idx="71">
                  <c:v>0.5</c:v>
                </c:pt>
                <c:pt idx="72">
                  <c:v>0.2</c:v>
                </c:pt>
                <c:pt idx="73">
                  <c:v>0.1</c:v>
                </c:pt>
                <c:pt idx="74">
                  <c:v>0.1</c:v>
                </c:pt>
                <c:pt idx="75">
                  <c:v>0.1</c:v>
                </c:pt>
                <c:pt idx="76">
                  <c:v>0.1</c:v>
                </c:pt>
                <c:pt idx="77">
                  <c:v>0.1</c:v>
                </c:pt>
                <c:pt idx="78">
                  <c:v>0.1</c:v>
                </c:pt>
                <c:pt idx="79">
                  <c:v>0.1</c:v>
                </c:pt>
                <c:pt idx="80">
                  <c:v>0.1</c:v>
                </c:pt>
                <c:pt idx="81">
                  <c:v>0.1</c:v>
                </c:pt>
                <c:pt idx="82">
                  <c:v>0.1</c:v>
                </c:pt>
                <c:pt idx="83">
                  <c:v>0.1</c:v>
                </c:pt>
                <c:pt idx="84">
                  <c:v>0.1</c:v>
                </c:pt>
                <c:pt idx="85">
                  <c:v>0.1</c:v>
                </c:pt>
                <c:pt idx="86">
                  <c:v>0.1</c:v>
                </c:pt>
                <c:pt idx="87">
                  <c:v>0.1</c:v>
                </c:pt>
                <c:pt idx="88">
                  <c:v>0.1</c:v>
                </c:pt>
                <c:pt idx="89">
                  <c:v>0.1</c:v>
                </c:pt>
                <c:pt idx="90">
                  <c:v>0.1</c:v>
                </c:pt>
                <c:pt idx="91">
                  <c:v>0.1</c:v>
                </c:pt>
                <c:pt idx="92">
                  <c:v>0.5</c:v>
                </c:pt>
                <c:pt idx="93">
                  <c:v>0.6</c:v>
                </c:pt>
                <c:pt idx="94">
                  <c:v>2.5</c:v>
                </c:pt>
                <c:pt idx="95">
                  <c:v>1.1</c:v>
                </c:pt>
                <c:pt idx="96">
                  <c:v>2.4</c:v>
                </c:pt>
                <c:pt idx="97">
                  <c:v>0.1</c:v>
                </c:pt>
                <c:pt idx="98">
                  <c:v>0.1</c:v>
                </c:pt>
                <c:pt idx="99">
                  <c:v>0.1</c:v>
                </c:pt>
                <c:pt idx="100">
                  <c:v>0.1</c:v>
                </c:pt>
                <c:pt idx="101">
                  <c:v>0.1</c:v>
                </c:pt>
                <c:pt idx="102">
                  <c:v>0.1</c:v>
                </c:pt>
                <c:pt idx="103">
                  <c:v>0.1</c:v>
                </c:pt>
                <c:pt idx="104">
                  <c:v>0.1</c:v>
                </c:pt>
                <c:pt idx="105">
                  <c:v>0.1</c:v>
                </c:pt>
                <c:pt idx="106">
                  <c:v>0.1</c:v>
                </c:pt>
                <c:pt idx="107">
                  <c:v>0.1</c:v>
                </c:pt>
                <c:pt idx="108">
                  <c:v>0.1</c:v>
                </c:pt>
                <c:pt idx="109">
                  <c:v>0.1</c:v>
                </c:pt>
                <c:pt idx="110">
                  <c:v>0.1</c:v>
                </c:pt>
                <c:pt idx="111">
                  <c:v>0.1</c:v>
                </c:pt>
                <c:pt idx="112">
                  <c:v>0.1</c:v>
                </c:pt>
                <c:pt idx="113">
                  <c:v>0.1</c:v>
                </c:pt>
                <c:pt idx="114">
                  <c:v>0.1</c:v>
                </c:pt>
                <c:pt idx="115">
                  <c:v>0.1</c:v>
                </c:pt>
                <c:pt idx="116">
                  <c:v>0.1</c:v>
                </c:pt>
                <c:pt idx="117">
                  <c:v>0.1</c:v>
                </c:pt>
                <c:pt idx="118">
                  <c:v>0.1</c:v>
                </c:pt>
                <c:pt idx="119">
                  <c:v>0.2</c:v>
                </c:pt>
                <c:pt idx="120">
                  <c:v>2</c:v>
                </c:pt>
                <c:pt idx="121">
                  <c:v>1.9</c:v>
                </c:pt>
                <c:pt idx="122">
                  <c:v>1.6</c:v>
                </c:pt>
                <c:pt idx="123">
                  <c:v>0.2</c:v>
                </c:pt>
                <c:pt idx="124">
                  <c:v>0.2</c:v>
                </c:pt>
                <c:pt idx="125">
                  <c:v>0.2</c:v>
                </c:pt>
                <c:pt idx="126">
                  <c:v>0.2</c:v>
                </c:pt>
                <c:pt idx="127">
                  <c:v>0.2</c:v>
                </c:pt>
                <c:pt idx="128">
                  <c:v>0.2</c:v>
                </c:pt>
                <c:pt idx="129">
                  <c:v>0.2</c:v>
                </c:pt>
                <c:pt idx="130">
                  <c:v>0.2</c:v>
                </c:pt>
                <c:pt idx="131">
                  <c:v>0.2</c:v>
                </c:pt>
                <c:pt idx="132">
                  <c:v>0.2</c:v>
                </c:pt>
                <c:pt idx="133">
                  <c:v>0.2</c:v>
                </c:pt>
                <c:pt idx="134">
                  <c:v>0.2</c:v>
                </c:pt>
                <c:pt idx="135">
                  <c:v>0.2</c:v>
                </c:pt>
                <c:pt idx="136">
                  <c:v>0.2</c:v>
                </c:pt>
                <c:pt idx="137">
                  <c:v>0.2</c:v>
                </c:pt>
                <c:pt idx="138">
                  <c:v>0.2</c:v>
                </c:pt>
                <c:pt idx="139">
                  <c:v>0.2</c:v>
                </c:pt>
                <c:pt idx="140">
                  <c:v>0.2</c:v>
                </c:pt>
                <c:pt idx="141">
                  <c:v>0.2</c:v>
                </c:pt>
                <c:pt idx="142">
                  <c:v>4.8</c:v>
                </c:pt>
                <c:pt idx="143">
                  <c:v>2.6</c:v>
                </c:pt>
                <c:pt idx="144">
                  <c:v>2.6</c:v>
                </c:pt>
                <c:pt idx="145">
                  <c:v>3</c:v>
                </c:pt>
                <c:pt idx="146">
                  <c:v>1.5</c:v>
                </c:pt>
                <c:pt idx="147">
                  <c:v>0.2</c:v>
                </c:pt>
                <c:pt idx="148">
                  <c:v>0.2</c:v>
                </c:pt>
                <c:pt idx="149">
                  <c:v>0.2</c:v>
                </c:pt>
                <c:pt idx="150">
                  <c:v>0.2</c:v>
                </c:pt>
                <c:pt idx="151">
                  <c:v>0.2</c:v>
                </c:pt>
                <c:pt idx="152">
                  <c:v>0.2</c:v>
                </c:pt>
                <c:pt idx="153">
                  <c:v>0.2</c:v>
                </c:pt>
                <c:pt idx="154">
                  <c:v>0.2</c:v>
                </c:pt>
                <c:pt idx="155">
                  <c:v>0.2</c:v>
                </c:pt>
                <c:pt idx="156">
                  <c:v>0.2</c:v>
                </c:pt>
                <c:pt idx="157">
                  <c:v>0.2</c:v>
                </c:pt>
                <c:pt idx="158">
                  <c:v>0.2</c:v>
                </c:pt>
                <c:pt idx="159">
                  <c:v>0.2</c:v>
                </c:pt>
                <c:pt idx="160">
                  <c:v>0.2</c:v>
                </c:pt>
                <c:pt idx="161">
                  <c:v>0.2</c:v>
                </c:pt>
                <c:pt idx="162">
                  <c:v>0.2</c:v>
                </c:pt>
                <c:pt idx="163">
                  <c:v>0.2</c:v>
                </c:pt>
                <c:pt idx="164">
                  <c:v>0.2</c:v>
                </c:pt>
                <c:pt idx="165">
                  <c:v>0.9</c:v>
                </c:pt>
                <c:pt idx="166">
                  <c:v>10.6</c:v>
                </c:pt>
                <c:pt idx="167">
                  <c:v>3.5</c:v>
                </c:pt>
                <c:pt idx="168">
                  <c:v>2.8</c:v>
                </c:pt>
                <c:pt idx="169">
                  <c:v>0.5</c:v>
                </c:pt>
                <c:pt idx="170">
                  <c:v>0.3</c:v>
                </c:pt>
                <c:pt idx="171">
                  <c:v>0.3</c:v>
                </c:pt>
                <c:pt idx="172">
                  <c:v>0.3</c:v>
                </c:pt>
                <c:pt idx="173">
                  <c:v>0.3</c:v>
                </c:pt>
                <c:pt idx="174">
                  <c:v>0.3</c:v>
                </c:pt>
                <c:pt idx="175">
                  <c:v>0.3</c:v>
                </c:pt>
                <c:pt idx="176">
                  <c:v>0.3</c:v>
                </c:pt>
                <c:pt idx="177">
                  <c:v>0.3</c:v>
                </c:pt>
                <c:pt idx="178">
                  <c:v>0.3</c:v>
                </c:pt>
                <c:pt idx="179">
                  <c:v>0.3</c:v>
                </c:pt>
                <c:pt idx="180">
                  <c:v>0.3</c:v>
                </c:pt>
                <c:pt idx="181">
                  <c:v>0.3</c:v>
                </c:pt>
                <c:pt idx="182">
                  <c:v>0.3</c:v>
                </c:pt>
                <c:pt idx="183">
                  <c:v>0.5</c:v>
                </c:pt>
                <c:pt idx="184">
                  <c:v>0.7</c:v>
                </c:pt>
                <c:pt idx="185">
                  <c:v>0.7</c:v>
                </c:pt>
                <c:pt idx="186">
                  <c:v>0.7</c:v>
                </c:pt>
                <c:pt idx="187">
                  <c:v>0.7</c:v>
                </c:pt>
                <c:pt idx="188">
                  <c:v>0.7</c:v>
                </c:pt>
                <c:pt idx="189">
                  <c:v>0.7</c:v>
                </c:pt>
                <c:pt idx="190">
                  <c:v>8.9</c:v>
                </c:pt>
                <c:pt idx="191">
                  <c:v>42.7</c:v>
                </c:pt>
                <c:pt idx="192">
                  <c:v>7.8</c:v>
                </c:pt>
                <c:pt idx="193">
                  <c:v>4</c:v>
                </c:pt>
                <c:pt idx="194">
                  <c:v>0.3</c:v>
                </c:pt>
                <c:pt idx="195">
                  <c:v>0.3</c:v>
                </c:pt>
                <c:pt idx="196">
                  <c:v>0.3</c:v>
                </c:pt>
                <c:pt idx="197">
                  <c:v>0.3</c:v>
                </c:pt>
                <c:pt idx="198">
                  <c:v>0.3</c:v>
                </c:pt>
                <c:pt idx="199">
                  <c:v>0.3</c:v>
                </c:pt>
                <c:pt idx="200">
                  <c:v>0.3</c:v>
                </c:pt>
                <c:pt idx="201">
                  <c:v>0.3</c:v>
                </c:pt>
                <c:pt idx="202">
                  <c:v>0.3</c:v>
                </c:pt>
                <c:pt idx="203">
                  <c:v>0.3</c:v>
                </c:pt>
                <c:pt idx="204">
                  <c:v>0.3</c:v>
                </c:pt>
                <c:pt idx="205">
                  <c:v>0.3</c:v>
                </c:pt>
                <c:pt idx="206">
                  <c:v>0.3</c:v>
                </c:pt>
                <c:pt idx="207">
                  <c:v>0.3</c:v>
                </c:pt>
                <c:pt idx="208">
                  <c:v>0.3</c:v>
                </c:pt>
                <c:pt idx="209">
                  <c:v>0.3</c:v>
                </c:pt>
                <c:pt idx="210">
                  <c:v>0.3</c:v>
                </c:pt>
                <c:pt idx="211">
                  <c:v>0.3</c:v>
                </c:pt>
                <c:pt idx="212">
                  <c:v>0.3</c:v>
                </c:pt>
                <c:pt idx="213">
                  <c:v>0.3</c:v>
                </c:pt>
                <c:pt idx="214">
                  <c:v>2.4</c:v>
                </c:pt>
                <c:pt idx="215">
                  <c:v>7</c:v>
                </c:pt>
                <c:pt idx="216">
                  <c:v>5.4</c:v>
                </c:pt>
                <c:pt idx="217">
                  <c:v>4.8</c:v>
                </c:pt>
                <c:pt idx="218">
                  <c:v>3.5</c:v>
                </c:pt>
                <c:pt idx="219">
                  <c:v>3.1</c:v>
                </c:pt>
                <c:pt idx="220">
                  <c:v>2.7</c:v>
                </c:pt>
                <c:pt idx="221">
                  <c:v>2.6</c:v>
                </c:pt>
                <c:pt idx="222">
                  <c:v>1.8</c:v>
                </c:pt>
                <c:pt idx="223">
                  <c:v>1.8</c:v>
                </c:pt>
                <c:pt idx="224">
                  <c:v>1.8</c:v>
                </c:pt>
                <c:pt idx="225">
                  <c:v>1.2</c:v>
                </c:pt>
                <c:pt idx="226">
                  <c:v>0.7</c:v>
                </c:pt>
                <c:pt idx="227">
                  <c:v>0.7</c:v>
                </c:pt>
                <c:pt idx="228">
                  <c:v>0.7</c:v>
                </c:pt>
                <c:pt idx="229">
                  <c:v>0.7</c:v>
                </c:pt>
                <c:pt idx="230">
                  <c:v>0.7</c:v>
                </c:pt>
                <c:pt idx="231">
                  <c:v>0.7</c:v>
                </c:pt>
                <c:pt idx="232">
                  <c:v>0.7</c:v>
                </c:pt>
                <c:pt idx="233">
                  <c:v>0.8</c:v>
                </c:pt>
                <c:pt idx="234">
                  <c:v>1.5</c:v>
                </c:pt>
                <c:pt idx="235">
                  <c:v>1.5</c:v>
                </c:pt>
                <c:pt idx="236">
                  <c:v>1.5</c:v>
                </c:pt>
                <c:pt idx="237">
                  <c:v>1.5</c:v>
                </c:pt>
                <c:pt idx="238">
                  <c:v>14</c:v>
                </c:pt>
                <c:pt idx="239">
                  <c:v>9.5</c:v>
                </c:pt>
                <c:pt idx="240">
                  <c:v>9.6</c:v>
                </c:pt>
                <c:pt idx="241">
                  <c:v>5.5</c:v>
                </c:pt>
                <c:pt idx="242">
                  <c:v>4</c:v>
                </c:pt>
                <c:pt idx="243">
                  <c:v>3.3</c:v>
                </c:pt>
                <c:pt idx="244">
                  <c:v>2.6</c:v>
                </c:pt>
                <c:pt idx="245">
                  <c:v>2.2</c:v>
                </c:pt>
                <c:pt idx="246">
                  <c:v>2.2</c:v>
                </c:pt>
                <c:pt idx="247">
                  <c:v>1.4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0.9</c:v>
                </c:pt>
                <c:pt idx="255">
                  <c:v>0.9</c:v>
                </c:pt>
                <c:pt idx="256">
                  <c:v>0.9</c:v>
                </c:pt>
                <c:pt idx="257">
                  <c:v>0.9</c:v>
                </c:pt>
                <c:pt idx="258">
                  <c:v>0.9</c:v>
                </c:pt>
                <c:pt idx="259">
                  <c:v>0.9</c:v>
                </c:pt>
                <c:pt idx="260">
                  <c:v>0.9</c:v>
                </c:pt>
                <c:pt idx="261">
                  <c:v>0.9</c:v>
                </c:pt>
                <c:pt idx="262">
                  <c:v>5.6</c:v>
                </c:pt>
                <c:pt idx="263">
                  <c:v>8.7</c:v>
                </c:pt>
                <c:pt idx="264">
                  <c:v>2.3</c:v>
                </c:pt>
                <c:pt idx="265">
                  <c:v>2.3</c:v>
                </c:pt>
                <c:pt idx="266">
                  <c:v>2.2</c:v>
                </c:pt>
                <c:pt idx="267">
                  <c:v>0.5</c:v>
                </c:pt>
                <c:pt idx="268">
                  <c:v>0.5</c:v>
                </c:pt>
                <c:pt idx="269">
                  <c:v>0.5</c:v>
                </c:pt>
                <c:pt idx="270">
                  <c:v>0.5</c:v>
                </c:pt>
                <c:pt idx="271">
                  <c:v>0.5</c:v>
                </c:pt>
                <c:pt idx="272">
                  <c:v>0.5</c:v>
                </c:pt>
                <c:pt idx="273">
                  <c:v>0.5</c:v>
                </c:pt>
                <c:pt idx="274">
                  <c:v>0.5</c:v>
                </c:pt>
                <c:pt idx="275">
                  <c:v>0.5</c:v>
                </c:pt>
                <c:pt idx="276">
                  <c:v>0.5</c:v>
                </c:pt>
                <c:pt idx="277">
                  <c:v>0.5</c:v>
                </c:pt>
                <c:pt idx="278">
                  <c:v>0.5</c:v>
                </c:pt>
                <c:pt idx="279">
                  <c:v>0.5</c:v>
                </c:pt>
                <c:pt idx="280">
                  <c:v>0.7</c:v>
                </c:pt>
                <c:pt idx="281">
                  <c:v>1.2</c:v>
                </c:pt>
                <c:pt idx="282">
                  <c:v>1.2</c:v>
                </c:pt>
                <c:pt idx="283">
                  <c:v>1.2</c:v>
                </c:pt>
                <c:pt idx="284">
                  <c:v>1.2</c:v>
                </c:pt>
                <c:pt idx="285">
                  <c:v>1.2</c:v>
                </c:pt>
                <c:pt idx="286">
                  <c:v>10.5</c:v>
                </c:pt>
                <c:pt idx="287">
                  <c:v>5.1</c:v>
                </c:pt>
                <c:pt idx="288">
                  <c:v>4.4</c:v>
                </c:pt>
                <c:pt idx="289">
                  <c:v>2.5</c:v>
                </c:pt>
                <c:pt idx="290">
                  <c:v>1.4</c:v>
                </c:pt>
                <c:pt idx="291">
                  <c:v>1.4</c:v>
                </c:pt>
                <c:pt idx="292">
                  <c:v>1.4</c:v>
                </c:pt>
                <c:pt idx="293">
                  <c:v>1.4</c:v>
                </c:pt>
                <c:pt idx="294">
                  <c:v>0.9</c:v>
                </c:pt>
                <c:pt idx="295">
                  <c:v>0.7</c:v>
                </c:pt>
                <c:pt idx="296">
                  <c:v>0.7</c:v>
                </c:pt>
                <c:pt idx="297">
                  <c:v>0.7</c:v>
                </c:pt>
                <c:pt idx="298">
                  <c:v>0.7</c:v>
                </c:pt>
                <c:pt idx="299">
                  <c:v>0.7</c:v>
                </c:pt>
                <c:pt idx="300">
                  <c:v>0.7</c:v>
                </c:pt>
                <c:pt idx="301">
                  <c:v>0.7</c:v>
                </c:pt>
                <c:pt idx="302">
                  <c:v>0.7</c:v>
                </c:pt>
                <c:pt idx="303">
                  <c:v>0.7</c:v>
                </c:pt>
                <c:pt idx="304">
                  <c:v>1</c:v>
                </c:pt>
                <c:pt idx="305">
                  <c:v>1.2</c:v>
                </c:pt>
                <c:pt idx="306">
                  <c:v>1.2</c:v>
                </c:pt>
                <c:pt idx="307">
                  <c:v>1.2</c:v>
                </c:pt>
                <c:pt idx="308">
                  <c:v>1.2</c:v>
                </c:pt>
                <c:pt idx="309">
                  <c:v>1.2</c:v>
                </c:pt>
                <c:pt idx="310">
                  <c:v>12.3</c:v>
                </c:pt>
                <c:pt idx="311">
                  <c:v>5.6</c:v>
                </c:pt>
                <c:pt idx="312">
                  <c:v>4.2</c:v>
                </c:pt>
                <c:pt idx="313">
                  <c:v>1.8</c:v>
                </c:pt>
                <c:pt idx="314">
                  <c:v>1.8</c:v>
                </c:pt>
                <c:pt idx="315">
                  <c:v>1.8</c:v>
                </c:pt>
                <c:pt idx="316">
                  <c:v>1.6</c:v>
                </c:pt>
                <c:pt idx="317">
                  <c:v>0.9</c:v>
                </c:pt>
                <c:pt idx="318">
                  <c:v>0.9</c:v>
                </c:pt>
                <c:pt idx="319">
                  <c:v>0.9</c:v>
                </c:pt>
                <c:pt idx="320">
                  <c:v>0.9</c:v>
                </c:pt>
                <c:pt idx="321">
                  <c:v>0.9</c:v>
                </c:pt>
                <c:pt idx="322">
                  <c:v>0.9</c:v>
                </c:pt>
                <c:pt idx="323">
                  <c:v>0.9</c:v>
                </c:pt>
                <c:pt idx="324">
                  <c:v>0.9</c:v>
                </c:pt>
                <c:pt idx="325">
                  <c:v>1.1</c:v>
                </c:pt>
                <c:pt idx="326">
                  <c:v>1.1</c:v>
                </c:pt>
                <c:pt idx="327">
                  <c:v>1.1</c:v>
                </c:pt>
                <c:pt idx="328">
                  <c:v>1.1</c:v>
                </c:pt>
                <c:pt idx="329">
                  <c:v>1.1</c:v>
                </c:pt>
                <c:pt idx="330">
                  <c:v>1.1</c:v>
                </c:pt>
                <c:pt idx="331">
                  <c:v>2</c:v>
                </c:pt>
                <c:pt idx="332">
                  <c:v>2.3</c:v>
                </c:pt>
                <c:pt idx="333">
                  <c:v>2.3</c:v>
                </c:pt>
                <c:pt idx="334">
                  <c:v>12</c:v>
                </c:pt>
                <c:pt idx="335">
                  <c:v>3.5</c:v>
                </c:pt>
                <c:pt idx="336">
                  <c:v>0.4</c:v>
                </c:pt>
                <c:pt idx="337">
                  <c:v>0.4</c:v>
                </c:pt>
                <c:pt idx="338">
                  <c:v>0.4</c:v>
                </c:pt>
                <c:pt idx="339">
                  <c:v>0.4</c:v>
                </c:pt>
                <c:pt idx="340">
                  <c:v>0.4</c:v>
                </c:pt>
                <c:pt idx="341">
                  <c:v>0.4</c:v>
                </c:pt>
                <c:pt idx="342">
                  <c:v>0.4</c:v>
                </c:pt>
                <c:pt idx="343">
                  <c:v>0.4</c:v>
                </c:pt>
                <c:pt idx="344">
                  <c:v>0.4</c:v>
                </c:pt>
                <c:pt idx="345">
                  <c:v>0.4</c:v>
                </c:pt>
                <c:pt idx="346">
                  <c:v>0.4</c:v>
                </c:pt>
                <c:pt idx="347">
                  <c:v>0.4</c:v>
                </c:pt>
                <c:pt idx="348">
                  <c:v>0.4</c:v>
                </c:pt>
                <c:pt idx="349">
                  <c:v>0.4</c:v>
                </c:pt>
                <c:pt idx="350">
                  <c:v>0.4</c:v>
                </c:pt>
                <c:pt idx="351">
                  <c:v>0.4</c:v>
                </c:pt>
                <c:pt idx="352">
                  <c:v>0.4</c:v>
                </c:pt>
                <c:pt idx="353">
                  <c:v>0.4</c:v>
                </c:pt>
                <c:pt idx="354">
                  <c:v>0.4</c:v>
                </c:pt>
                <c:pt idx="355">
                  <c:v>2.1</c:v>
                </c:pt>
                <c:pt idx="356">
                  <c:v>2.1</c:v>
                </c:pt>
                <c:pt idx="357">
                  <c:v>2.1</c:v>
                </c:pt>
                <c:pt idx="358">
                  <c:v>13.3</c:v>
                </c:pt>
                <c:pt idx="359">
                  <c:v>6.8</c:v>
                </c:pt>
                <c:pt idx="360">
                  <c:v>3.8</c:v>
                </c:pt>
                <c:pt idx="361">
                  <c:v>2.1</c:v>
                </c:pt>
                <c:pt idx="362">
                  <c:v>2.1</c:v>
                </c:pt>
                <c:pt idx="363">
                  <c:v>2</c:v>
                </c:pt>
                <c:pt idx="364">
                  <c:v>1.2</c:v>
                </c:pt>
                <c:pt idx="365">
                  <c:v>1.2</c:v>
                </c:pt>
                <c:pt idx="366">
                  <c:v>1.2</c:v>
                </c:pt>
                <c:pt idx="367">
                  <c:v>1.2</c:v>
                </c:pt>
                <c:pt idx="368">
                  <c:v>1.2</c:v>
                </c:pt>
                <c:pt idx="369">
                  <c:v>1.2</c:v>
                </c:pt>
                <c:pt idx="370">
                  <c:v>1.1</c:v>
                </c:pt>
                <c:pt idx="371">
                  <c:v>1.1</c:v>
                </c:pt>
                <c:pt idx="372">
                  <c:v>1.1</c:v>
                </c:pt>
                <c:pt idx="373">
                  <c:v>1.1</c:v>
                </c:pt>
                <c:pt idx="374">
                  <c:v>1.1</c:v>
                </c:pt>
                <c:pt idx="375">
                  <c:v>1.1</c:v>
                </c:pt>
                <c:pt idx="376">
                  <c:v>1.3</c:v>
                </c:pt>
                <c:pt idx="377">
                  <c:v>1.4</c:v>
                </c:pt>
                <c:pt idx="378">
                  <c:v>1.4</c:v>
                </c:pt>
                <c:pt idx="379">
                  <c:v>1.4</c:v>
                </c:pt>
                <c:pt idx="380">
                  <c:v>1.4</c:v>
                </c:pt>
                <c:pt idx="381">
                  <c:v>3.6</c:v>
                </c:pt>
                <c:pt idx="382">
                  <c:v>10.1</c:v>
                </c:pt>
                <c:pt idx="383">
                  <c:v>4.3</c:v>
                </c:pt>
                <c:pt idx="384">
                  <c:v>2.8</c:v>
                </c:pt>
                <c:pt idx="385">
                  <c:v>2.6</c:v>
                </c:pt>
                <c:pt idx="386">
                  <c:v>1.2</c:v>
                </c:pt>
                <c:pt idx="387">
                  <c:v>1.2</c:v>
                </c:pt>
                <c:pt idx="388">
                  <c:v>1.2</c:v>
                </c:pt>
                <c:pt idx="389">
                  <c:v>1.2</c:v>
                </c:pt>
                <c:pt idx="390">
                  <c:v>1.2</c:v>
                </c:pt>
                <c:pt idx="391">
                  <c:v>1.2</c:v>
                </c:pt>
                <c:pt idx="392">
                  <c:v>1.1</c:v>
                </c:pt>
                <c:pt idx="393">
                  <c:v>1.1</c:v>
                </c:pt>
                <c:pt idx="394">
                  <c:v>1.1</c:v>
                </c:pt>
                <c:pt idx="395">
                  <c:v>1.1</c:v>
                </c:pt>
                <c:pt idx="396">
                  <c:v>1.1</c:v>
                </c:pt>
                <c:pt idx="397">
                  <c:v>1.1</c:v>
                </c:pt>
                <c:pt idx="398">
                  <c:v>1.1</c:v>
                </c:pt>
                <c:pt idx="399">
                  <c:v>1.2</c:v>
                </c:pt>
                <c:pt idx="400">
                  <c:v>1.2</c:v>
                </c:pt>
                <c:pt idx="401">
                  <c:v>1.2</c:v>
                </c:pt>
                <c:pt idx="402">
                  <c:v>1.2</c:v>
                </c:pt>
                <c:pt idx="403">
                  <c:v>1.2</c:v>
                </c:pt>
                <c:pt idx="404">
                  <c:v>2</c:v>
                </c:pt>
                <c:pt idx="405">
                  <c:v>4.6</c:v>
                </c:pt>
                <c:pt idx="406">
                  <c:v>9.4</c:v>
                </c:pt>
                <c:pt idx="407">
                  <c:v>2.5</c:v>
                </c:pt>
                <c:pt idx="408">
                  <c:v>2.5</c:v>
                </c:pt>
                <c:pt idx="409">
                  <c:v>2.4</c:v>
                </c:pt>
                <c:pt idx="410">
                  <c:v>1.5</c:v>
                </c:pt>
                <c:pt idx="411">
                  <c:v>1.5</c:v>
                </c:pt>
                <c:pt idx="412">
                  <c:v>1.5</c:v>
                </c:pt>
                <c:pt idx="413">
                  <c:v>1.5</c:v>
                </c:pt>
                <c:pt idx="414">
                  <c:v>1.4</c:v>
                </c:pt>
                <c:pt idx="415">
                  <c:v>0.9</c:v>
                </c:pt>
                <c:pt idx="416">
                  <c:v>0.9</c:v>
                </c:pt>
                <c:pt idx="417">
                  <c:v>0.9</c:v>
                </c:pt>
                <c:pt idx="418">
                  <c:v>0.9</c:v>
                </c:pt>
                <c:pt idx="419">
                  <c:v>0.9</c:v>
                </c:pt>
                <c:pt idx="420">
                  <c:v>0.9</c:v>
                </c:pt>
                <c:pt idx="421">
                  <c:v>0.9</c:v>
                </c:pt>
                <c:pt idx="422">
                  <c:v>0.9</c:v>
                </c:pt>
                <c:pt idx="423">
                  <c:v>1.4</c:v>
                </c:pt>
                <c:pt idx="424">
                  <c:v>1.4</c:v>
                </c:pt>
                <c:pt idx="425">
                  <c:v>1.4</c:v>
                </c:pt>
                <c:pt idx="426">
                  <c:v>1.4</c:v>
                </c:pt>
                <c:pt idx="427">
                  <c:v>1.4</c:v>
                </c:pt>
                <c:pt idx="428">
                  <c:v>2.9</c:v>
                </c:pt>
                <c:pt idx="429">
                  <c:v>3.6</c:v>
                </c:pt>
                <c:pt idx="430">
                  <c:v>3.6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8753749"/>
        <c:axId val="45397375"/>
      </c:lineChart>
      <c:catAx>
        <c:axId val="1875374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45397375"/>
        <c:crosses val="autoZero"/>
        <c:auto val="1"/>
        <c:lblAlgn val="ctr"/>
        <c:lblOffset val="100"/>
        <c:noMultiLvlLbl val="0"/>
      </c:catAx>
      <c:valAx>
        <c:axId val="4539737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18753749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Production!$J$2</c:f>
              <c:strCache>
                <c:ptCount val="1"/>
                <c:pt idx="0">
                  <c:v>Volume (NmL)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Production!$I$3:$I$1721</c:f>
              <c:strCache>
                <c:ptCount val="1719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</c:v>
                </c:pt>
                <c:pt idx="145">
                  <c:v>36.25</c:v>
                </c:pt>
                <c:pt idx="146">
                  <c:v>36.5</c:v>
                </c:pt>
                <c:pt idx="147">
                  <c:v>36.75</c:v>
                </c:pt>
                <c:pt idx="148">
                  <c:v>37</c:v>
                </c:pt>
                <c:pt idx="149">
                  <c:v>37.25</c:v>
                </c:pt>
                <c:pt idx="150">
                  <c:v>37.5</c:v>
                </c:pt>
                <c:pt idx="151">
                  <c:v>37.75</c:v>
                </c:pt>
                <c:pt idx="152">
                  <c:v>38</c:v>
                </c:pt>
                <c:pt idx="153">
                  <c:v>38.25</c:v>
                </c:pt>
                <c:pt idx="154">
                  <c:v>38.5</c:v>
                </c:pt>
                <c:pt idx="155">
                  <c:v>38.75</c:v>
                </c:pt>
                <c:pt idx="156">
                  <c:v>39</c:v>
                </c:pt>
                <c:pt idx="157">
                  <c:v>39.25</c:v>
                </c:pt>
                <c:pt idx="158">
                  <c:v>39.5</c:v>
                </c:pt>
                <c:pt idx="159">
                  <c:v>39.75</c:v>
                </c:pt>
                <c:pt idx="160">
                  <c:v>40</c:v>
                </c:pt>
                <c:pt idx="161">
                  <c:v>40.25</c:v>
                </c:pt>
                <c:pt idx="162">
                  <c:v>40.5</c:v>
                </c:pt>
                <c:pt idx="163">
                  <c:v>40.75</c:v>
                </c:pt>
                <c:pt idx="164">
                  <c:v>41</c:v>
                </c:pt>
                <c:pt idx="165">
                  <c:v>41.25</c:v>
                </c:pt>
                <c:pt idx="166">
                  <c:v>41.5</c:v>
                </c:pt>
                <c:pt idx="167">
                  <c:v>41.75</c:v>
                </c:pt>
                <c:pt idx="168">
                  <c:v>42</c:v>
                </c:pt>
                <c:pt idx="169">
                  <c:v>42.25</c:v>
                </c:pt>
                <c:pt idx="170">
                  <c:v>42.5</c:v>
                </c:pt>
                <c:pt idx="171">
                  <c:v>42.75</c:v>
                </c:pt>
                <c:pt idx="172">
                  <c:v>43</c:v>
                </c:pt>
                <c:pt idx="173">
                  <c:v>43.25</c:v>
                </c:pt>
                <c:pt idx="174">
                  <c:v>43.5</c:v>
                </c:pt>
                <c:pt idx="175">
                  <c:v>43.75</c:v>
                </c:pt>
                <c:pt idx="176">
                  <c:v>44</c:v>
                </c:pt>
                <c:pt idx="177">
                  <c:v>44.25</c:v>
                </c:pt>
                <c:pt idx="178">
                  <c:v>44.5</c:v>
                </c:pt>
                <c:pt idx="179">
                  <c:v>44.75</c:v>
                </c:pt>
                <c:pt idx="180">
                  <c:v>45</c:v>
                </c:pt>
                <c:pt idx="181">
                  <c:v>45.25</c:v>
                </c:pt>
                <c:pt idx="182">
                  <c:v>45.5</c:v>
                </c:pt>
                <c:pt idx="183">
                  <c:v>45.75</c:v>
                </c:pt>
                <c:pt idx="184">
                  <c:v>46</c:v>
                </c:pt>
                <c:pt idx="185">
                  <c:v>46.25</c:v>
                </c:pt>
                <c:pt idx="186">
                  <c:v>46.5</c:v>
                </c:pt>
                <c:pt idx="187">
                  <c:v>46.75</c:v>
                </c:pt>
                <c:pt idx="188">
                  <c:v>47</c:v>
                </c:pt>
                <c:pt idx="189">
                  <c:v>47.25</c:v>
                </c:pt>
                <c:pt idx="190">
                  <c:v>47.5</c:v>
                </c:pt>
                <c:pt idx="191">
                  <c:v>47.75</c:v>
                </c:pt>
                <c:pt idx="192">
                  <c:v>48</c:v>
                </c:pt>
                <c:pt idx="193">
                  <c:v>48.25</c:v>
                </c:pt>
                <c:pt idx="194">
                  <c:v>48.5</c:v>
                </c:pt>
                <c:pt idx="195">
                  <c:v>48.75</c:v>
                </c:pt>
                <c:pt idx="196">
                  <c:v>49</c:v>
                </c:pt>
                <c:pt idx="197">
                  <c:v>49.25</c:v>
                </c:pt>
                <c:pt idx="198">
                  <c:v>49.5</c:v>
                </c:pt>
                <c:pt idx="199">
                  <c:v>49.75</c:v>
                </c:pt>
                <c:pt idx="200">
                  <c:v>50</c:v>
                </c:pt>
                <c:pt idx="201">
                  <c:v>50.25</c:v>
                </c:pt>
                <c:pt idx="202">
                  <c:v>50.5</c:v>
                </c:pt>
                <c:pt idx="203">
                  <c:v>50.75</c:v>
                </c:pt>
                <c:pt idx="204">
                  <c:v>51</c:v>
                </c:pt>
                <c:pt idx="205">
                  <c:v>51.25</c:v>
                </c:pt>
                <c:pt idx="206">
                  <c:v>51.5</c:v>
                </c:pt>
                <c:pt idx="207">
                  <c:v>51.75</c:v>
                </c:pt>
                <c:pt idx="208">
                  <c:v>52</c:v>
                </c:pt>
                <c:pt idx="209">
                  <c:v>52.25</c:v>
                </c:pt>
                <c:pt idx="210">
                  <c:v>52.5</c:v>
                </c:pt>
                <c:pt idx="211">
                  <c:v>52.75</c:v>
                </c:pt>
                <c:pt idx="212">
                  <c:v>53</c:v>
                </c:pt>
                <c:pt idx="213">
                  <c:v>53.25</c:v>
                </c:pt>
                <c:pt idx="214">
                  <c:v>53.5</c:v>
                </c:pt>
                <c:pt idx="215">
                  <c:v>53.75</c:v>
                </c:pt>
                <c:pt idx="216">
                  <c:v>54</c:v>
                </c:pt>
                <c:pt idx="217">
                  <c:v>54.25</c:v>
                </c:pt>
                <c:pt idx="218">
                  <c:v>54.5</c:v>
                </c:pt>
                <c:pt idx="219">
                  <c:v>54.75</c:v>
                </c:pt>
                <c:pt idx="220">
                  <c:v>55</c:v>
                </c:pt>
                <c:pt idx="221">
                  <c:v>55.25</c:v>
                </c:pt>
                <c:pt idx="222">
                  <c:v>55.5</c:v>
                </c:pt>
                <c:pt idx="223">
                  <c:v>55.75</c:v>
                </c:pt>
                <c:pt idx="224">
                  <c:v>56</c:v>
                </c:pt>
                <c:pt idx="225">
                  <c:v>56.25</c:v>
                </c:pt>
                <c:pt idx="226">
                  <c:v>56.5</c:v>
                </c:pt>
                <c:pt idx="227">
                  <c:v>56.75</c:v>
                </c:pt>
                <c:pt idx="228">
                  <c:v>57</c:v>
                </c:pt>
                <c:pt idx="229">
                  <c:v>57.25</c:v>
                </c:pt>
                <c:pt idx="230">
                  <c:v>57.5</c:v>
                </c:pt>
                <c:pt idx="231">
                  <c:v>57.75</c:v>
                </c:pt>
                <c:pt idx="232">
                  <c:v>58</c:v>
                </c:pt>
                <c:pt idx="233">
                  <c:v>58.25</c:v>
                </c:pt>
                <c:pt idx="234">
                  <c:v>58.5</c:v>
                </c:pt>
                <c:pt idx="235">
                  <c:v>58.75</c:v>
                </c:pt>
                <c:pt idx="236">
                  <c:v>59</c:v>
                </c:pt>
                <c:pt idx="237">
                  <c:v>59.25</c:v>
                </c:pt>
                <c:pt idx="238">
                  <c:v>59.5</c:v>
                </c:pt>
                <c:pt idx="239">
                  <c:v>59.75</c:v>
                </c:pt>
                <c:pt idx="240">
                  <c:v>60</c:v>
                </c:pt>
                <c:pt idx="241">
                  <c:v>60.25</c:v>
                </c:pt>
                <c:pt idx="242">
                  <c:v>60.5</c:v>
                </c:pt>
                <c:pt idx="243">
                  <c:v>60.75</c:v>
                </c:pt>
                <c:pt idx="244">
                  <c:v>61</c:v>
                </c:pt>
                <c:pt idx="245">
                  <c:v>61.25</c:v>
                </c:pt>
                <c:pt idx="246">
                  <c:v>61.5</c:v>
                </c:pt>
                <c:pt idx="247">
                  <c:v>61.75</c:v>
                </c:pt>
                <c:pt idx="248">
                  <c:v>62</c:v>
                </c:pt>
                <c:pt idx="249">
                  <c:v>62.25</c:v>
                </c:pt>
                <c:pt idx="250">
                  <c:v>62.5</c:v>
                </c:pt>
                <c:pt idx="251">
                  <c:v>62.75</c:v>
                </c:pt>
                <c:pt idx="252">
                  <c:v>63</c:v>
                </c:pt>
                <c:pt idx="253">
                  <c:v>63.25</c:v>
                </c:pt>
                <c:pt idx="254">
                  <c:v>63.5</c:v>
                </c:pt>
                <c:pt idx="255">
                  <c:v>63.75</c:v>
                </c:pt>
                <c:pt idx="256">
                  <c:v>64</c:v>
                </c:pt>
                <c:pt idx="257">
                  <c:v>64.25</c:v>
                </c:pt>
                <c:pt idx="258">
                  <c:v>64.5</c:v>
                </c:pt>
                <c:pt idx="259">
                  <c:v>64.75</c:v>
                </c:pt>
                <c:pt idx="260">
                  <c:v>65</c:v>
                </c:pt>
                <c:pt idx="261">
                  <c:v>65.25</c:v>
                </c:pt>
                <c:pt idx="262">
                  <c:v>65.5</c:v>
                </c:pt>
                <c:pt idx="263">
                  <c:v>65.75</c:v>
                </c:pt>
                <c:pt idx="264">
                  <c:v>66</c:v>
                </c:pt>
                <c:pt idx="265">
                  <c:v>66.25</c:v>
                </c:pt>
                <c:pt idx="266">
                  <c:v>66.5</c:v>
                </c:pt>
                <c:pt idx="267">
                  <c:v>66.75</c:v>
                </c:pt>
                <c:pt idx="268">
                  <c:v>67</c:v>
                </c:pt>
                <c:pt idx="269">
                  <c:v>67.25</c:v>
                </c:pt>
                <c:pt idx="270">
                  <c:v>67.5</c:v>
                </c:pt>
                <c:pt idx="271">
                  <c:v>67.75</c:v>
                </c:pt>
                <c:pt idx="272">
                  <c:v>68</c:v>
                </c:pt>
                <c:pt idx="273">
                  <c:v>68.25</c:v>
                </c:pt>
                <c:pt idx="274">
                  <c:v>68.5</c:v>
                </c:pt>
                <c:pt idx="275">
                  <c:v>68.75</c:v>
                </c:pt>
                <c:pt idx="276">
                  <c:v>69</c:v>
                </c:pt>
                <c:pt idx="277">
                  <c:v>69.25</c:v>
                </c:pt>
                <c:pt idx="278">
                  <c:v>69.5</c:v>
                </c:pt>
                <c:pt idx="279">
                  <c:v>69.75</c:v>
                </c:pt>
                <c:pt idx="280">
                  <c:v>70</c:v>
                </c:pt>
                <c:pt idx="281">
                  <c:v>70.25</c:v>
                </c:pt>
                <c:pt idx="282">
                  <c:v>70.5</c:v>
                </c:pt>
                <c:pt idx="283">
                  <c:v>70.75</c:v>
                </c:pt>
                <c:pt idx="284">
                  <c:v>71</c:v>
                </c:pt>
                <c:pt idx="285">
                  <c:v>71.25</c:v>
                </c:pt>
                <c:pt idx="286">
                  <c:v>71.5</c:v>
                </c:pt>
                <c:pt idx="287">
                  <c:v>71.75</c:v>
                </c:pt>
                <c:pt idx="288">
                  <c:v>72</c:v>
                </c:pt>
                <c:pt idx="289">
                  <c:v>72.25</c:v>
                </c:pt>
                <c:pt idx="290">
                  <c:v>72.5</c:v>
                </c:pt>
                <c:pt idx="291">
                  <c:v>72.75</c:v>
                </c:pt>
                <c:pt idx="292">
                  <c:v>73</c:v>
                </c:pt>
                <c:pt idx="293">
                  <c:v>73.25</c:v>
                </c:pt>
                <c:pt idx="294">
                  <c:v>73.5</c:v>
                </c:pt>
                <c:pt idx="295">
                  <c:v>73.75</c:v>
                </c:pt>
                <c:pt idx="296">
                  <c:v>74</c:v>
                </c:pt>
                <c:pt idx="297">
                  <c:v>74.25</c:v>
                </c:pt>
                <c:pt idx="298">
                  <c:v>74.5</c:v>
                </c:pt>
                <c:pt idx="299">
                  <c:v>74.75</c:v>
                </c:pt>
                <c:pt idx="300">
                  <c:v>75</c:v>
                </c:pt>
                <c:pt idx="301">
                  <c:v>75.25</c:v>
                </c:pt>
                <c:pt idx="302">
                  <c:v>75.5</c:v>
                </c:pt>
                <c:pt idx="303">
                  <c:v>75.75</c:v>
                </c:pt>
                <c:pt idx="304">
                  <c:v>76</c:v>
                </c:pt>
                <c:pt idx="305">
                  <c:v>76.25</c:v>
                </c:pt>
                <c:pt idx="306">
                  <c:v>76.5</c:v>
                </c:pt>
                <c:pt idx="307">
                  <c:v>76.75</c:v>
                </c:pt>
                <c:pt idx="308">
                  <c:v>77</c:v>
                </c:pt>
                <c:pt idx="309">
                  <c:v>77.25</c:v>
                </c:pt>
                <c:pt idx="310">
                  <c:v>77.5</c:v>
                </c:pt>
                <c:pt idx="311">
                  <c:v>77.75</c:v>
                </c:pt>
                <c:pt idx="312">
                  <c:v>78</c:v>
                </c:pt>
                <c:pt idx="313">
                  <c:v>78.25</c:v>
                </c:pt>
                <c:pt idx="314">
                  <c:v>78.5</c:v>
                </c:pt>
                <c:pt idx="315">
                  <c:v>78.75</c:v>
                </c:pt>
                <c:pt idx="316">
                  <c:v>79</c:v>
                </c:pt>
                <c:pt idx="317">
                  <c:v>79.25</c:v>
                </c:pt>
                <c:pt idx="318">
                  <c:v>79.5</c:v>
                </c:pt>
                <c:pt idx="319">
                  <c:v>79.75</c:v>
                </c:pt>
                <c:pt idx="320">
                  <c:v>80</c:v>
                </c:pt>
                <c:pt idx="321">
                  <c:v>80.25</c:v>
                </c:pt>
                <c:pt idx="322">
                  <c:v>80.5</c:v>
                </c:pt>
                <c:pt idx="323">
                  <c:v>80.75</c:v>
                </c:pt>
                <c:pt idx="324">
                  <c:v>81</c:v>
                </c:pt>
                <c:pt idx="325">
                  <c:v>81.25</c:v>
                </c:pt>
                <c:pt idx="326">
                  <c:v>81.5</c:v>
                </c:pt>
                <c:pt idx="327">
                  <c:v>81.75</c:v>
                </c:pt>
                <c:pt idx="328">
                  <c:v>82</c:v>
                </c:pt>
                <c:pt idx="329">
                  <c:v>82.25</c:v>
                </c:pt>
                <c:pt idx="330">
                  <c:v>82.5</c:v>
                </c:pt>
                <c:pt idx="331">
                  <c:v>82.75</c:v>
                </c:pt>
                <c:pt idx="332">
                  <c:v>83</c:v>
                </c:pt>
                <c:pt idx="333">
                  <c:v>83.25</c:v>
                </c:pt>
                <c:pt idx="334">
                  <c:v>83.5</c:v>
                </c:pt>
                <c:pt idx="335">
                  <c:v>83.75</c:v>
                </c:pt>
                <c:pt idx="336">
                  <c:v>84</c:v>
                </c:pt>
                <c:pt idx="337">
                  <c:v>84.25</c:v>
                </c:pt>
                <c:pt idx="338">
                  <c:v>84.5</c:v>
                </c:pt>
                <c:pt idx="339">
                  <c:v>84.75</c:v>
                </c:pt>
                <c:pt idx="340">
                  <c:v>85</c:v>
                </c:pt>
                <c:pt idx="341">
                  <c:v>85.25</c:v>
                </c:pt>
                <c:pt idx="342">
                  <c:v>85.5</c:v>
                </c:pt>
                <c:pt idx="343">
                  <c:v>85.75</c:v>
                </c:pt>
                <c:pt idx="344">
                  <c:v>86</c:v>
                </c:pt>
                <c:pt idx="345">
                  <c:v>86.25</c:v>
                </c:pt>
                <c:pt idx="346">
                  <c:v>86.5</c:v>
                </c:pt>
                <c:pt idx="347">
                  <c:v>86.75</c:v>
                </c:pt>
                <c:pt idx="348">
                  <c:v>87</c:v>
                </c:pt>
                <c:pt idx="349">
                  <c:v>87.25</c:v>
                </c:pt>
                <c:pt idx="350">
                  <c:v>87.5</c:v>
                </c:pt>
                <c:pt idx="351">
                  <c:v>87.75</c:v>
                </c:pt>
                <c:pt idx="352">
                  <c:v>88</c:v>
                </c:pt>
                <c:pt idx="353">
                  <c:v>88.25</c:v>
                </c:pt>
                <c:pt idx="354">
                  <c:v>88.5</c:v>
                </c:pt>
                <c:pt idx="355">
                  <c:v>88.75</c:v>
                </c:pt>
                <c:pt idx="356">
                  <c:v>89</c:v>
                </c:pt>
                <c:pt idx="357">
                  <c:v>89.25</c:v>
                </c:pt>
                <c:pt idx="358">
                  <c:v>89.5</c:v>
                </c:pt>
                <c:pt idx="359">
                  <c:v>89.75</c:v>
                </c:pt>
                <c:pt idx="360">
                  <c:v>90</c:v>
                </c:pt>
                <c:pt idx="361">
                  <c:v>90.25</c:v>
                </c:pt>
                <c:pt idx="362">
                  <c:v>90.5</c:v>
                </c:pt>
                <c:pt idx="363">
                  <c:v>90.75</c:v>
                </c:pt>
                <c:pt idx="364">
                  <c:v>91</c:v>
                </c:pt>
                <c:pt idx="365">
                  <c:v>91.25</c:v>
                </c:pt>
                <c:pt idx="366">
                  <c:v>91.5</c:v>
                </c:pt>
                <c:pt idx="367">
                  <c:v>91.75</c:v>
                </c:pt>
                <c:pt idx="368">
                  <c:v>92</c:v>
                </c:pt>
                <c:pt idx="369">
                  <c:v>92.25</c:v>
                </c:pt>
                <c:pt idx="370">
                  <c:v>92.5</c:v>
                </c:pt>
                <c:pt idx="371">
                  <c:v>92.75</c:v>
                </c:pt>
                <c:pt idx="372">
                  <c:v>93</c:v>
                </c:pt>
                <c:pt idx="373">
                  <c:v>93.25</c:v>
                </c:pt>
                <c:pt idx="374">
                  <c:v>93.5</c:v>
                </c:pt>
                <c:pt idx="375">
                  <c:v>93.75</c:v>
                </c:pt>
                <c:pt idx="376">
                  <c:v>94</c:v>
                </c:pt>
                <c:pt idx="377">
                  <c:v>94.25</c:v>
                </c:pt>
                <c:pt idx="378">
                  <c:v>94.5</c:v>
                </c:pt>
                <c:pt idx="379">
                  <c:v>94.75</c:v>
                </c:pt>
                <c:pt idx="380">
                  <c:v>95</c:v>
                </c:pt>
                <c:pt idx="381">
                  <c:v>95.25</c:v>
                </c:pt>
                <c:pt idx="382">
                  <c:v>95.5</c:v>
                </c:pt>
                <c:pt idx="383">
                  <c:v>95.75</c:v>
                </c:pt>
                <c:pt idx="384">
                  <c:v>96</c:v>
                </c:pt>
                <c:pt idx="385">
                  <c:v>96.25</c:v>
                </c:pt>
                <c:pt idx="386">
                  <c:v>96.5</c:v>
                </c:pt>
                <c:pt idx="387">
                  <c:v>96.75</c:v>
                </c:pt>
                <c:pt idx="388">
                  <c:v>97</c:v>
                </c:pt>
                <c:pt idx="389">
                  <c:v>97.25</c:v>
                </c:pt>
                <c:pt idx="390">
                  <c:v>97.5</c:v>
                </c:pt>
                <c:pt idx="391">
                  <c:v>97.75</c:v>
                </c:pt>
                <c:pt idx="392">
                  <c:v>98</c:v>
                </c:pt>
                <c:pt idx="393">
                  <c:v>98.25</c:v>
                </c:pt>
                <c:pt idx="394">
                  <c:v>98.5</c:v>
                </c:pt>
                <c:pt idx="395">
                  <c:v>98.75</c:v>
                </c:pt>
                <c:pt idx="396">
                  <c:v>99</c:v>
                </c:pt>
                <c:pt idx="397">
                  <c:v>99.25</c:v>
                </c:pt>
                <c:pt idx="398">
                  <c:v>99.5</c:v>
                </c:pt>
                <c:pt idx="399">
                  <c:v>99.75</c:v>
                </c:pt>
                <c:pt idx="400">
                  <c:v>100</c:v>
                </c:pt>
                <c:pt idx="401">
                  <c:v>100.25</c:v>
                </c:pt>
                <c:pt idx="402">
                  <c:v>100.5</c:v>
                </c:pt>
                <c:pt idx="403">
                  <c:v>100.75</c:v>
                </c:pt>
                <c:pt idx="404">
                  <c:v>101</c:v>
                </c:pt>
                <c:pt idx="405">
                  <c:v>101.25</c:v>
                </c:pt>
                <c:pt idx="406">
                  <c:v>101.5</c:v>
                </c:pt>
                <c:pt idx="407">
                  <c:v>101.75</c:v>
                </c:pt>
                <c:pt idx="408">
                  <c:v>102</c:v>
                </c:pt>
                <c:pt idx="409">
                  <c:v>102.25</c:v>
                </c:pt>
                <c:pt idx="410">
                  <c:v>102.5</c:v>
                </c:pt>
                <c:pt idx="411">
                  <c:v>102.75</c:v>
                </c:pt>
                <c:pt idx="412">
                  <c:v>103</c:v>
                </c:pt>
                <c:pt idx="413">
                  <c:v>103.25</c:v>
                </c:pt>
                <c:pt idx="414">
                  <c:v>103.5</c:v>
                </c:pt>
                <c:pt idx="415">
                  <c:v>103.75</c:v>
                </c:pt>
                <c:pt idx="416">
                  <c:v>104</c:v>
                </c:pt>
                <c:pt idx="417">
                  <c:v>104.25</c:v>
                </c:pt>
                <c:pt idx="418">
                  <c:v>104.5</c:v>
                </c:pt>
                <c:pt idx="419">
                  <c:v>104.75</c:v>
                </c:pt>
                <c:pt idx="420">
                  <c:v>105</c:v>
                </c:pt>
                <c:pt idx="421">
                  <c:v>105.25</c:v>
                </c:pt>
                <c:pt idx="422">
                  <c:v>105.5</c:v>
                </c:pt>
                <c:pt idx="423">
                  <c:v>105.75</c:v>
                </c:pt>
                <c:pt idx="424">
                  <c:v>106</c:v>
                </c:pt>
                <c:pt idx="425">
                  <c:v>106.25</c:v>
                </c:pt>
                <c:pt idx="426">
                  <c:v>106.5</c:v>
                </c:pt>
                <c:pt idx="427">
                  <c:v>106.75</c:v>
                </c:pt>
                <c:pt idx="428">
                  <c:v>107</c:v>
                </c:pt>
                <c:pt idx="429">
                  <c:v>107.25</c:v>
                </c:pt>
                <c:pt idx="430">
                  <c:v>107.5</c:v>
                </c:pt>
                <c:pt idx="431">
                  <c:v>107.75</c:v>
                </c:pt>
                <c:pt idx="432">
                  <c:v>108</c:v>
                </c:pt>
                <c:pt idx="433">
                  <c:v>108.25</c:v>
                </c:pt>
                <c:pt idx="434">
                  <c:v>108.5</c:v>
                </c:pt>
                <c:pt idx="435">
                  <c:v>108.75</c:v>
                </c:pt>
                <c:pt idx="436">
                  <c:v>109</c:v>
                </c:pt>
                <c:pt idx="437">
                  <c:v>109.25</c:v>
                </c:pt>
                <c:pt idx="438">
                  <c:v>109.5</c:v>
                </c:pt>
                <c:pt idx="439">
                  <c:v>109.75</c:v>
                </c:pt>
                <c:pt idx="440">
                  <c:v>110</c:v>
                </c:pt>
                <c:pt idx="441">
                  <c:v>110.25</c:v>
                </c:pt>
                <c:pt idx="442">
                  <c:v>110.5</c:v>
                </c:pt>
                <c:pt idx="443">
                  <c:v>110.75</c:v>
                </c:pt>
                <c:pt idx="444">
                  <c:v>111</c:v>
                </c:pt>
                <c:pt idx="445">
                  <c:v>111.25</c:v>
                </c:pt>
                <c:pt idx="446">
                  <c:v>111.5</c:v>
                </c:pt>
                <c:pt idx="447">
                  <c:v>111.75</c:v>
                </c:pt>
                <c:pt idx="448">
                  <c:v>112</c:v>
                </c:pt>
                <c:pt idx="449">
                  <c:v>112.25</c:v>
                </c:pt>
                <c:pt idx="450">
                  <c:v>112.5</c:v>
                </c:pt>
                <c:pt idx="451">
                  <c:v>112.75</c:v>
                </c:pt>
                <c:pt idx="452">
                  <c:v>113</c:v>
                </c:pt>
                <c:pt idx="453">
                  <c:v>113.25</c:v>
                </c:pt>
                <c:pt idx="454">
                  <c:v>113.5</c:v>
                </c:pt>
                <c:pt idx="455">
                  <c:v>113.75</c:v>
                </c:pt>
                <c:pt idx="456">
                  <c:v>114</c:v>
                </c:pt>
                <c:pt idx="457">
                  <c:v>114.25</c:v>
                </c:pt>
                <c:pt idx="458">
                  <c:v>114.5</c:v>
                </c:pt>
                <c:pt idx="459">
                  <c:v>114.75</c:v>
                </c:pt>
                <c:pt idx="460">
                  <c:v>115</c:v>
                </c:pt>
                <c:pt idx="461">
                  <c:v>115.25</c:v>
                </c:pt>
                <c:pt idx="462">
                  <c:v>115.5</c:v>
                </c:pt>
                <c:pt idx="463">
                  <c:v>115.75</c:v>
                </c:pt>
                <c:pt idx="464">
                  <c:v>116</c:v>
                </c:pt>
                <c:pt idx="465">
                  <c:v>116.25</c:v>
                </c:pt>
                <c:pt idx="466">
                  <c:v>116.5</c:v>
                </c:pt>
                <c:pt idx="467">
                  <c:v>116.75</c:v>
                </c:pt>
                <c:pt idx="468">
                  <c:v>117</c:v>
                </c:pt>
                <c:pt idx="469">
                  <c:v>117.25</c:v>
                </c:pt>
                <c:pt idx="470">
                  <c:v>117.5</c:v>
                </c:pt>
                <c:pt idx="471">
                  <c:v>117.75</c:v>
                </c:pt>
                <c:pt idx="472">
                  <c:v>118</c:v>
                </c:pt>
                <c:pt idx="473">
                  <c:v>118.25</c:v>
                </c:pt>
                <c:pt idx="474">
                  <c:v>118.5</c:v>
                </c:pt>
                <c:pt idx="475">
                  <c:v>118.75</c:v>
                </c:pt>
                <c:pt idx="476">
                  <c:v>119</c:v>
                </c:pt>
                <c:pt idx="477">
                  <c:v>119.25</c:v>
                </c:pt>
                <c:pt idx="478">
                  <c:v>119.5</c:v>
                </c:pt>
                <c:pt idx="479">
                  <c:v>119.75</c:v>
                </c:pt>
                <c:pt idx="480">
                  <c:v>120</c:v>
                </c:pt>
                <c:pt idx="481">
                  <c:v>120.25</c:v>
                </c:pt>
                <c:pt idx="482">
                  <c:v>120.5</c:v>
                </c:pt>
                <c:pt idx="483">
                  <c:v>120.75</c:v>
                </c:pt>
                <c:pt idx="484">
                  <c:v>121</c:v>
                </c:pt>
                <c:pt idx="485">
                  <c:v>121.25</c:v>
                </c:pt>
                <c:pt idx="486">
                  <c:v>121.5</c:v>
                </c:pt>
                <c:pt idx="487">
                  <c:v>121.75</c:v>
                </c:pt>
                <c:pt idx="488">
                  <c:v>122</c:v>
                </c:pt>
                <c:pt idx="489">
                  <c:v>122.25</c:v>
                </c:pt>
                <c:pt idx="490">
                  <c:v>122.5</c:v>
                </c:pt>
                <c:pt idx="491">
                  <c:v>122.75</c:v>
                </c:pt>
                <c:pt idx="492">
                  <c:v>123</c:v>
                </c:pt>
                <c:pt idx="493">
                  <c:v>123.25</c:v>
                </c:pt>
                <c:pt idx="494">
                  <c:v>123.5</c:v>
                </c:pt>
                <c:pt idx="495">
                  <c:v>123.75</c:v>
                </c:pt>
                <c:pt idx="496">
                  <c:v>124</c:v>
                </c:pt>
                <c:pt idx="497">
                  <c:v>124.25</c:v>
                </c:pt>
                <c:pt idx="498">
                  <c:v>124.5</c:v>
                </c:pt>
                <c:pt idx="499">
                  <c:v>124.75</c:v>
                </c:pt>
                <c:pt idx="500">
                  <c:v>125</c:v>
                </c:pt>
                <c:pt idx="501">
                  <c:v>125.25</c:v>
                </c:pt>
                <c:pt idx="502">
                  <c:v>125.5</c:v>
                </c:pt>
                <c:pt idx="503">
                  <c:v>125.75</c:v>
                </c:pt>
                <c:pt idx="504">
                  <c:v>126</c:v>
                </c:pt>
                <c:pt idx="505">
                  <c:v>126.25</c:v>
                </c:pt>
                <c:pt idx="506">
                  <c:v>126.5</c:v>
                </c:pt>
                <c:pt idx="507">
                  <c:v>126.75</c:v>
                </c:pt>
                <c:pt idx="508">
                  <c:v>127</c:v>
                </c:pt>
                <c:pt idx="509">
                  <c:v>127.25</c:v>
                </c:pt>
                <c:pt idx="510">
                  <c:v>127.5</c:v>
                </c:pt>
                <c:pt idx="511">
                  <c:v>127.75</c:v>
                </c:pt>
                <c:pt idx="512">
                  <c:v>128</c:v>
                </c:pt>
                <c:pt idx="513">
                  <c:v>128.25</c:v>
                </c:pt>
                <c:pt idx="514">
                  <c:v>128.5</c:v>
                </c:pt>
                <c:pt idx="515">
                  <c:v>128.75</c:v>
                </c:pt>
                <c:pt idx="516">
                  <c:v>129</c:v>
                </c:pt>
                <c:pt idx="517">
                  <c:v>129.25</c:v>
                </c:pt>
                <c:pt idx="518">
                  <c:v>129.5</c:v>
                </c:pt>
                <c:pt idx="519">
                  <c:v>129.75</c:v>
                </c:pt>
                <c:pt idx="520">
                  <c:v>130</c:v>
                </c:pt>
                <c:pt idx="521">
                  <c:v>130.25</c:v>
                </c:pt>
                <c:pt idx="522">
                  <c:v>130.5</c:v>
                </c:pt>
                <c:pt idx="523">
                  <c:v>130.75</c:v>
                </c:pt>
                <c:pt idx="524">
                  <c:v>131</c:v>
                </c:pt>
                <c:pt idx="525">
                  <c:v>131.25</c:v>
                </c:pt>
                <c:pt idx="526">
                  <c:v>131.5</c:v>
                </c:pt>
                <c:pt idx="527">
                  <c:v>131.75</c:v>
                </c:pt>
                <c:pt idx="528">
                  <c:v>132</c:v>
                </c:pt>
                <c:pt idx="529">
                  <c:v>132.25</c:v>
                </c:pt>
                <c:pt idx="530">
                  <c:v>132.5</c:v>
                </c:pt>
                <c:pt idx="531">
                  <c:v>132.75</c:v>
                </c:pt>
                <c:pt idx="532">
                  <c:v>133</c:v>
                </c:pt>
                <c:pt idx="533">
                  <c:v>133.25</c:v>
                </c:pt>
                <c:pt idx="534">
                  <c:v>133.5</c:v>
                </c:pt>
                <c:pt idx="535">
                  <c:v>133.75</c:v>
                </c:pt>
                <c:pt idx="536">
                  <c:v>134</c:v>
                </c:pt>
                <c:pt idx="537">
                  <c:v>134.25</c:v>
                </c:pt>
                <c:pt idx="538">
                  <c:v>134.5</c:v>
                </c:pt>
                <c:pt idx="539">
                  <c:v>134.75</c:v>
                </c:pt>
                <c:pt idx="540">
                  <c:v>135</c:v>
                </c:pt>
                <c:pt idx="541">
                  <c:v>135.25</c:v>
                </c:pt>
                <c:pt idx="542">
                  <c:v>135.5</c:v>
                </c:pt>
                <c:pt idx="543">
                  <c:v>135.75</c:v>
                </c:pt>
                <c:pt idx="544">
                  <c:v>136</c:v>
                </c:pt>
                <c:pt idx="545">
                  <c:v>136.25</c:v>
                </c:pt>
                <c:pt idx="546">
                  <c:v>136.5</c:v>
                </c:pt>
                <c:pt idx="547">
                  <c:v>136.75</c:v>
                </c:pt>
                <c:pt idx="548">
                  <c:v>137</c:v>
                </c:pt>
                <c:pt idx="549">
                  <c:v>137.25</c:v>
                </c:pt>
                <c:pt idx="550">
                  <c:v>137.5</c:v>
                </c:pt>
                <c:pt idx="551">
                  <c:v>137.75</c:v>
                </c:pt>
                <c:pt idx="552">
                  <c:v>138</c:v>
                </c:pt>
                <c:pt idx="553">
                  <c:v>138.25</c:v>
                </c:pt>
                <c:pt idx="554">
                  <c:v>138.5</c:v>
                </c:pt>
                <c:pt idx="555">
                  <c:v>138.75</c:v>
                </c:pt>
                <c:pt idx="556">
                  <c:v>139</c:v>
                </c:pt>
                <c:pt idx="557">
                  <c:v>139.25</c:v>
                </c:pt>
                <c:pt idx="558">
                  <c:v>139.5</c:v>
                </c:pt>
                <c:pt idx="559">
                  <c:v>139.75</c:v>
                </c:pt>
                <c:pt idx="560">
                  <c:v>140</c:v>
                </c:pt>
                <c:pt idx="561">
                  <c:v>140.25</c:v>
                </c:pt>
                <c:pt idx="562">
                  <c:v>140.5</c:v>
                </c:pt>
                <c:pt idx="563">
                  <c:v>140.75</c:v>
                </c:pt>
                <c:pt idx="564">
                  <c:v>141</c:v>
                </c:pt>
                <c:pt idx="565">
                  <c:v>141.25</c:v>
                </c:pt>
                <c:pt idx="566">
                  <c:v>141.5</c:v>
                </c:pt>
                <c:pt idx="567">
                  <c:v>141.75</c:v>
                </c:pt>
                <c:pt idx="568">
                  <c:v>142</c:v>
                </c:pt>
                <c:pt idx="569">
                  <c:v>142.25</c:v>
                </c:pt>
                <c:pt idx="570">
                  <c:v>142.5</c:v>
                </c:pt>
                <c:pt idx="571">
                  <c:v>142.75</c:v>
                </c:pt>
                <c:pt idx="572">
                  <c:v>143</c:v>
                </c:pt>
                <c:pt idx="573">
                  <c:v>143.25</c:v>
                </c:pt>
                <c:pt idx="574">
                  <c:v>143.5</c:v>
                </c:pt>
                <c:pt idx="575">
                  <c:v>143.75</c:v>
                </c:pt>
                <c:pt idx="576">
                  <c:v>144</c:v>
                </c:pt>
                <c:pt idx="577">
                  <c:v>144.25</c:v>
                </c:pt>
                <c:pt idx="578">
                  <c:v>144.5</c:v>
                </c:pt>
                <c:pt idx="579">
                  <c:v>144.75</c:v>
                </c:pt>
                <c:pt idx="580">
                  <c:v>145</c:v>
                </c:pt>
                <c:pt idx="581">
                  <c:v>145.25</c:v>
                </c:pt>
                <c:pt idx="582">
                  <c:v>145.5</c:v>
                </c:pt>
                <c:pt idx="583">
                  <c:v>145.75</c:v>
                </c:pt>
                <c:pt idx="584">
                  <c:v>146</c:v>
                </c:pt>
                <c:pt idx="585">
                  <c:v>146.25</c:v>
                </c:pt>
                <c:pt idx="586">
                  <c:v>146.5</c:v>
                </c:pt>
                <c:pt idx="587">
                  <c:v>146.75</c:v>
                </c:pt>
                <c:pt idx="588">
                  <c:v>147</c:v>
                </c:pt>
                <c:pt idx="589">
                  <c:v>147.25</c:v>
                </c:pt>
                <c:pt idx="590">
                  <c:v>147.5</c:v>
                </c:pt>
                <c:pt idx="591">
                  <c:v>147.75</c:v>
                </c:pt>
                <c:pt idx="592">
                  <c:v>148</c:v>
                </c:pt>
                <c:pt idx="593">
                  <c:v>148.25</c:v>
                </c:pt>
                <c:pt idx="594">
                  <c:v>148.5</c:v>
                </c:pt>
                <c:pt idx="595">
                  <c:v>148.75</c:v>
                </c:pt>
                <c:pt idx="596">
                  <c:v>149</c:v>
                </c:pt>
                <c:pt idx="597">
                  <c:v>149.25</c:v>
                </c:pt>
                <c:pt idx="598">
                  <c:v>149.5</c:v>
                </c:pt>
                <c:pt idx="599">
                  <c:v>149.75</c:v>
                </c:pt>
                <c:pt idx="600">
                  <c:v>150</c:v>
                </c:pt>
                <c:pt idx="601">
                  <c:v>150.25</c:v>
                </c:pt>
                <c:pt idx="602">
                  <c:v>150.5</c:v>
                </c:pt>
                <c:pt idx="603">
                  <c:v>150.75</c:v>
                </c:pt>
                <c:pt idx="604">
                  <c:v>151</c:v>
                </c:pt>
                <c:pt idx="605">
                  <c:v>151.25</c:v>
                </c:pt>
                <c:pt idx="606">
                  <c:v>151.5</c:v>
                </c:pt>
                <c:pt idx="607">
                  <c:v>151.75</c:v>
                </c:pt>
                <c:pt idx="608">
                  <c:v>152</c:v>
                </c:pt>
                <c:pt idx="609">
                  <c:v>152.25</c:v>
                </c:pt>
                <c:pt idx="610">
                  <c:v>152.5</c:v>
                </c:pt>
                <c:pt idx="611">
                  <c:v>152.75</c:v>
                </c:pt>
                <c:pt idx="612">
                  <c:v>153</c:v>
                </c:pt>
                <c:pt idx="613">
                  <c:v>153.25</c:v>
                </c:pt>
                <c:pt idx="614">
                  <c:v>153.5</c:v>
                </c:pt>
                <c:pt idx="615">
                  <c:v>153.75</c:v>
                </c:pt>
                <c:pt idx="616">
                  <c:v>154</c:v>
                </c:pt>
                <c:pt idx="617">
                  <c:v>154.25</c:v>
                </c:pt>
                <c:pt idx="618">
                  <c:v>154.5</c:v>
                </c:pt>
                <c:pt idx="619">
                  <c:v>154.75</c:v>
                </c:pt>
                <c:pt idx="620">
                  <c:v>155</c:v>
                </c:pt>
                <c:pt idx="621">
                  <c:v>155.25</c:v>
                </c:pt>
                <c:pt idx="622">
                  <c:v>155.5</c:v>
                </c:pt>
                <c:pt idx="623">
                  <c:v>155.75</c:v>
                </c:pt>
                <c:pt idx="624">
                  <c:v>156</c:v>
                </c:pt>
                <c:pt idx="625">
                  <c:v>156.25</c:v>
                </c:pt>
                <c:pt idx="626">
                  <c:v>156.5</c:v>
                </c:pt>
                <c:pt idx="627">
                  <c:v>156.75</c:v>
                </c:pt>
                <c:pt idx="628">
                  <c:v>157</c:v>
                </c:pt>
                <c:pt idx="629">
                  <c:v>157.25</c:v>
                </c:pt>
                <c:pt idx="630">
                  <c:v>157.5</c:v>
                </c:pt>
                <c:pt idx="631">
                  <c:v>157.75</c:v>
                </c:pt>
                <c:pt idx="632">
                  <c:v>158</c:v>
                </c:pt>
                <c:pt idx="633">
                  <c:v>158.25</c:v>
                </c:pt>
                <c:pt idx="634">
                  <c:v>158.5</c:v>
                </c:pt>
                <c:pt idx="635">
                  <c:v>158.75</c:v>
                </c:pt>
                <c:pt idx="636">
                  <c:v>159</c:v>
                </c:pt>
                <c:pt idx="637">
                  <c:v>159.25</c:v>
                </c:pt>
                <c:pt idx="638">
                  <c:v>159.5</c:v>
                </c:pt>
                <c:pt idx="639">
                  <c:v>159.75</c:v>
                </c:pt>
                <c:pt idx="640">
                  <c:v>160</c:v>
                </c:pt>
                <c:pt idx="641">
                  <c:v>160.25</c:v>
                </c:pt>
                <c:pt idx="642">
                  <c:v>160.5</c:v>
                </c:pt>
                <c:pt idx="643">
                  <c:v>160.75</c:v>
                </c:pt>
                <c:pt idx="644">
                  <c:v>161</c:v>
                </c:pt>
                <c:pt idx="645">
                  <c:v>161.25</c:v>
                </c:pt>
                <c:pt idx="646">
                  <c:v>161.5</c:v>
                </c:pt>
                <c:pt idx="647">
                  <c:v>161.75</c:v>
                </c:pt>
                <c:pt idx="648">
                  <c:v>162</c:v>
                </c:pt>
                <c:pt idx="649">
                  <c:v>162.25</c:v>
                </c:pt>
                <c:pt idx="650">
                  <c:v>162.5</c:v>
                </c:pt>
                <c:pt idx="651">
                  <c:v>162.75</c:v>
                </c:pt>
                <c:pt idx="652">
                  <c:v>163</c:v>
                </c:pt>
                <c:pt idx="653">
                  <c:v>163.25</c:v>
                </c:pt>
                <c:pt idx="654">
                  <c:v>163.5</c:v>
                </c:pt>
                <c:pt idx="655">
                  <c:v>163.75</c:v>
                </c:pt>
                <c:pt idx="656">
                  <c:v>164</c:v>
                </c:pt>
                <c:pt idx="657">
                  <c:v>164.25</c:v>
                </c:pt>
                <c:pt idx="658">
                  <c:v>164.5</c:v>
                </c:pt>
                <c:pt idx="659">
                  <c:v>164.75</c:v>
                </c:pt>
                <c:pt idx="660">
                  <c:v>165</c:v>
                </c:pt>
                <c:pt idx="661">
                  <c:v>165.25</c:v>
                </c:pt>
                <c:pt idx="662">
                  <c:v>165.5</c:v>
                </c:pt>
                <c:pt idx="663">
                  <c:v>165.75</c:v>
                </c:pt>
                <c:pt idx="664">
                  <c:v>166</c:v>
                </c:pt>
                <c:pt idx="665">
                  <c:v>166.25</c:v>
                </c:pt>
                <c:pt idx="666">
                  <c:v>166.5</c:v>
                </c:pt>
                <c:pt idx="667">
                  <c:v>166.75</c:v>
                </c:pt>
                <c:pt idx="668">
                  <c:v>167</c:v>
                </c:pt>
                <c:pt idx="669">
                  <c:v>167.25</c:v>
                </c:pt>
                <c:pt idx="670">
                  <c:v>167.5</c:v>
                </c:pt>
                <c:pt idx="671">
                  <c:v>167.75</c:v>
                </c:pt>
                <c:pt idx="672">
                  <c:v>168</c:v>
                </c:pt>
                <c:pt idx="673">
                  <c:v>168.25</c:v>
                </c:pt>
                <c:pt idx="674">
                  <c:v>168.5</c:v>
                </c:pt>
                <c:pt idx="675">
                  <c:v>168.75</c:v>
                </c:pt>
                <c:pt idx="676">
                  <c:v>169</c:v>
                </c:pt>
                <c:pt idx="677">
                  <c:v>169.25</c:v>
                </c:pt>
                <c:pt idx="678">
                  <c:v>169.5</c:v>
                </c:pt>
                <c:pt idx="679">
                  <c:v>169.75</c:v>
                </c:pt>
                <c:pt idx="680">
                  <c:v>170</c:v>
                </c:pt>
                <c:pt idx="681">
                  <c:v>170.25</c:v>
                </c:pt>
                <c:pt idx="682">
                  <c:v>170.5</c:v>
                </c:pt>
                <c:pt idx="683">
                  <c:v>170.75</c:v>
                </c:pt>
                <c:pt idx="684">
                  <c:v>171</c:v>
                </c:pt>
                <c:pt idx="685">
                  <c:v>171.25</c:v>
                </c:pt>
                <c:pt idx="686">
                  <c:v>171.5</c:v>
                </c:pt>
                <c:pt idx="687">
                  <c:v>171.75</c:v>
                </c:pt>
                <c:pt idx="688">
                  <c:v>172</c:v>
                </c:pt>
                <c:pt idx="689">
                  <c:v>172.25</c:v>
                </c:pt>
                <c:pt idx="690">
                  <c:v>172.5</c:v>
                </c:pt>
                <c:pt idx="691">
                  <c:v>172.75</c:v>
                </c:pt>
                <c:pt idx="692">
                  <c:v>173</c:v>
                </c:pt>
                <c:pt idx="693">
                  <c:v>173.25</c:v>
                </c:pt>
                <c:pt idx="694">
                  <c:v>173.5</c:v>
                </c:pt>
                <c:pt idx="695">
                  <c:v>173.75</c:v>
                </c:pt>
                <c:pt idx="696">
                  <c:v>174</c:v>
                </c:pt>
                <c:pt idx="697">
                  <c:v>174.25</c:v>
                </c:pt>
                <c:pt idx="698">
                  <c:v>174.5</c:v>
                </c:pt>
                <c:pt idx="699">
                  <c:v>174.75</c:v>
                </c:pt>
                <c:pt idx="700">
                  <c:v>175</c:v>
                </c:pt>
                <c:pt idx="701">
                  <c:v>175.25</c:v>
                </c:pt>
                <c:pt idx="702">
                  <c:v>175.5</c:v>
                </c:pt>
                <c:pt idx="703">
                  <c:v>175.75</c:v>
                </c:pt>
                <c:pt idx="704">
                  <c:v>176</c:v>
                </c:pt>
                <c:pt idx="705">
                  <c:v>176.25</c:v>
                </c:pt>
                <c:pt idx="706">
                  <c:v>176.5</c:v>
                </c:pt>
                <c:pt idx="707">
                  <c:v>176.75</c:v>
                </c:pt>
                <c:pt idx="708">
                  <c:v>177</c:v>
                </c:pt>
                <c:pt idx="709">
                  <c:v>177.25</c:v>
                </c:pt>
                <c:pt idx="710">
                  <c:v>177.5</c:v>
                </c:pt>
                <c:pt idx="711">
                  <c:v>177.75</c:v>
                </c:pt>
                <c:pt idx="712">
                  <c:v>178</c:v>
                </c:pt>
                <c:pt idx="713">
                  <c:v>178.25</c:v>
                </c:pt>
                <c:pt idx="714">
                  <c:v>178.5</c:v>
                </c:pt>
                <c:pt idx="715">
                  <c:v>178.75</c:v>
                </c:pt>
                <c:pt idx="716">
                  <c:v>179</c:v>
                </c:pt>
                <c:pt idx="717">
                  <c:v>179.25</c:v>
                </c:pt>
                <c:pt idx="718">
                  <c:v>179.5</c:v>
                </c:pt>
                <c:pt idx="719">
                  <c:v>179.75</c:v>
                </c:pt>
                <c:pt idx="720">
                  <c:v>180</c:v>
                </c:pt>
                <c:pt idx="721">
                  <c:v>180.25</c:v>
                </c:pt>
                <c:pt idx="722">
                  <c:v>180.5</c:v>
                </c:pt>
                <c:pt idx="723">
                  <c:v>180.75</c:v>
                </c:pt>
                <c:pt idx="724">
                  <c:v>181</c:v>
                </c:pt>
                <c:pt idx="725">
                  <c:v>181.25</c:v>
                </c:pt>
                <c:pt idx="726">
                  <c:v>181.5</c:v>
                </c:pt>
                <c:pt idx="727">
                  <c:v>181.75</c:v>
                </c:pt>
                <c:pt idx="728">
                  <c:v>182</c:v>
                </c:pt>
                <c:pt idx="729">
                  <c:v>182.25</c:v>
                </c:pt>
                <c:pt idx="730">
                  <c:v>182.5</c:v>
                </c:pt>
                <c:pt idx="731">
                  <c:v>182.75</c:v>
                </c:pt>
                <c:pt idx="732">
                  <c:v>183</c:v>
                </c:pt>
                <c:pt idx="733">
                  <c:v>183.25</c:v>
                </c:pt>
                <c:pt idx="734">
                  <c:v>183.5</c:v>
                </c:pt>
                <c:pt idx="735">
                  <c:v>183.75</c:v>
                </c:pt>
                <c:pt idx="736">
                  <c:v>184</c:v>
                </c:pt>
                <c:pt idx="737">
                  <c:v>184.25</c:v>
                </c:pt>
                <c:pt idx="738">
                  <c:v>184.5</c:v>
                </c:pt>
                <c:pt idx="739">
                  <c:v>184.75</c:v>
                </c:pt>
                <c:pt idx="740">
                  <c:v>185</c:v>
                </c:pt>
                <c:pt idx="741">
                  <c:v>185.25</c:v>
                </c:pt>
                <c:pt idx="742">
                  <c:v>185.5</c:v>
                </c:pt>
                <c:pt idx="743">
                  <c:v>185.75</c:v>
                </c:pt>
                <c:pt idx="744">
                  <c:v>186</c:v>
                </c:pt>
                <c:pt idx="745">
                  <c:v>186.25</c:v>
                </c:pt>
                <c:pt idx="746">
                  <c:v>186.5</c:v>
                </c:pt>
                <c:pt idx="747">
                  <c:v>186.75</c:v>
                </c:pt>
                <c:pt idx="748">
                  <c:v>187</c:v>
                </c:pt>
                <c:pt idx="749">
                  <c:v>187.25</c:v>
                </c:pt>
                <c:pt idx="750">
                  <c:v>187.5</c:v>
                </c:pt>
                <c:pt idx="751">
                  <c:v>187.75</c:v>
                </c:pt>
                <c:pt idx="752">
                  <c:v>188</c:v>
                </c:pt>
                <c:pt idx="753">
                  <c:v>188.25</c:v>
                </c:pt>
                <c:pt idx="754">
                  <c:v>188.5</c:v>
                </c:pt>
                <c:pt idx="755">
                  <c:v>188.75</c:v>
                </c:pt>
                <c:pt idx="756">
                  <c:v>189</c:v>
                </c:pt>
                <c:pt idx="757">
                  <c:v>189.25</c:v>
                </c:pt>
                <c:pt idx="758">
                  <c:v>189.5</c:v>
                </c:pt>
                <c:pt idx="759">
                  <c:v>189.75</c:v>
                </c:pt>
                <c:pt idx="760">
                  <c:v>190</c:v>
                </c:pt>
                <c:pt idx="761">
                  <c:v>190.25</c:v>
                </c:pt>
                <c:pt idx="762">
                  <c:v>190.5</c:v>
                </c:pt>
                <c:pt idx="763">
                  <c:v>190.75</c:v>
                </c:pt>
                <c:pt idx="764">
                  <c:v>191</c:v>
                </c:pt>
                <c:pt idx="765">
                  <c:v>191.25</c:v>
                </c:pt>
                <c:pt idx="766">
                  <c:v>191.5</c:v>
                </c:pt>
                <c:pt idx="767">
                  <c:v>191.75</c:v>
                </c:pt>
                <c:pt idx="768">
                  <c:v>192</c:v>
                </c:pt>
                <c:pt idx="769">
                  <c:v>192.25</c:v>
                </c:pt>
                <c:pt idx="770">
                  <c:v>192.5</c:v>
                </c:pt>
                <c:pt idx="771">
                  <c:v>192.75</c:v>
                </c:pt>
                <c:pt idx="772">
                  <c:v>193</c:v>
                </c:pt>
                <c:pt idx="773">
                  <c:v>193.25</c:v>
                </c:pt>
                <c:pt idx="774">
                  <c:v>193.5</c:v>
                </c:pt>
                <c:pt idx="775">
                  <c:v>193.75</c:v>
                </c:pt>
                <c:pt idx="776">
                  <c:v>194</c:v>
                </c:pt>
                <c:pt idx="777">
                  <c:v>194.25</c:v>
                </c:pt>
                <c:pt idx="778">
                  <c:v>194.5</c:v>
                </c:pt>
                <c:pt idx="779">
                  <c:v>194.75</c:v>
                </c:pt>
                <c:pt idx="780">
                  <c:v>195</c:v>
                </c:pt>
                <c:pt idx="781">
                  <c:v>195.25</c:v>
                </c:pt>
                <c:pt idx="782">
                  <c:v>195.5</c:v>
                </c:pt>
                <c:pt idx="783">
                  <c:v>195.75</c:v>
                </c:pt>
                <c:pt idx="784">
                  <c:v>196</c:v>
                </c:pt>
                <c:pt idx="785">
                  <c:v>196.25</c:v>
                </c:pt>
                <c:pt idx="786">
                  <c:v>196.5</c:v>
                </c:pt>
                <c:pt idx="787">
                  <c:v>196.75</c:v>
                </c:pt>
                <c:pt idx="788">
                  <c:v>197</c:v>
                </c:pt>
                <c:pt idx="789">
                  <c:v>197.25</c:v>
                </c:pt>
                <c:pt idx="790">
                  <c:v>197.5</c:v>
                </c:pt>
                <c:pt idx="791">
                  <c:v>197.75</c:v>
                </c:pt>
                <c:pt idx="792">
                  <c:v>198</c:v>
                </c:pt>
                <c:pt idx="793">
                  <c:v>198.25</c:v>
                </c:pt>
                <c:pt idx="794">
                  <c:v>198.5</c:v>
                </c:pt>
                <c:pt idx="795">
                  <c:v>198.75</c:v>
                </c:pt>
                <c:pt idx="796">
                  <c:v>199</c:v>
                </c:pt>
                <c:pt idx="797">
                  <c:v>199.25</c:v>
                </c:pt>
                <c:pt idx="798">
                  <c:v>199.5</c:v>
                </c:pt>
                <c:pt idx="799">
                  <c:v>199.75</c:v>
                </c:pt>
                <c:pt idx="800">
                  <c:v>200</c:v>
                </c:pt>
                <c:pt idx="801">
                  <c:v>200.25</c:v>
                </c:pt>
                <c:pt idx="802">
                  <c:v>200.5</c:v>
                </c:pt>
                <c:pt idx="803">
                  <c:v>200.75</c:v>
                </c:pt>
                <c:pt idx="804">
                  <c:v>201</c:v>
                </c:pt>
                <c:pt idx="805">
                  <c:v>201.25</c:v>
                </c:pt>
                <c:pt idx="806">
                  <c:v>201.5</c:v>
                </c:pt>
                <c:pt idx="807">
                  <c:v>201.75</c:v>
                </c:pt>
                <c:pt idx="808">
                  <c:v>202</c:v>
                </c:pt>
                <c:pt idx="809">
                  <c:v>202.25</c:v>
                </c:pt>
                <c:pt idx="810">
                  <c:v>202.5</c:v>
                </c:pt>
                <c:pt idx="811">
                  <c:v>202.75</c:v>
                </c:pt>
                <c:pt idx="812">
                  <c:v>203</c:v>
                </c:pt>
                <c:pt idx="813">
                  <c:v>203.25</c:v>
                </c:pt>
                <c:pt idx="814">
                  <c:v>203.5</c:v>
                </c:pt>
                <c:pt idx="815">
                  <c:v>203.75</c:v>
                </c:pt>
                <c:pt idx="816">
                  <c:v>204</c:v>
                </c:pt>
                <c:pt idx="817">
                  <c:v>204.25</c:v>
                </c:pt>
                <c:pt idx="818">
                  <c:v>204.5</c:v>
                </c:pt>
                <c:pt idx="819">
                  <c:v>204.75</c:v>
                </c:pt>
                <c:pt idx="820">
                  <c:v>205</c:v>
                </c:pt>
                <c:pt idx="821">
                  <c:v>205.25</c:v>
                </c:pt>
                <c:pt idx="822">
                  <c:v>205.5</c:v>
                </c:pt>
                <c:pt idx="823">
                  <c:v>205.75</c:v>
                </c:pt>
                <c:pt idx="824">
                  <c:v>206</c:v>
                </c:pt>
                <c:pt idx="825">
                  <c:v>206.25</c:v>
                </c:pt>
                <c:pt idx="826">
                  <c:v>206.5</c:v>
                </c:pt>
                <c:pt idx="827">
                  <c:v>206.75</c:v>
                </c:pt>
                <c:pt idx="828">
                  <c:v>207</c:v>
                </c:pt>
                <c:pt idx="829">
                  <c:v>207.25</c:v>
                </c:pt>
                <c:pt idx="830">
                  <c:v>207.5</c:v>
                </c:pt>
                <c:pt idx="831">
                  <c:v>207.75</c:v>
                </c:pt>
                <c:pt idx="832">
                  <c:v>208</c:v>
                </c:pt>
                <c:pt idx="833">
                  <c:v>208.25</c:v>
                </c:pt>
                <c:pt idx="834">
                  <c:v>208.5</c:v>
                </c:pt>
                <c:pt idx="835">
                  <c:v>208.75</c:v>
                </c:pt>
                <c:pt idx="836">
                  <c:v>209</c:v>
                </c:pt>
                <c:pt idx="837">
                  <c:v>209.25</c:v>
                </c:pt>
                <c:pt idx="838">
                  <c:v>209.5</c:v>
                </c:pt>
                <c:pt idx="839">
                  <c:v>209.75</c:v>
                </c:pt>
                <c:pt idx="840">
                  <c:v>210</c:v>
                </c:pt>
                <c:pt idx="841">
                  <c:v>210.25</c:v>
                </c:pt>
                <c:pt idx="842">
                  <c:v>210.5</c:v>
                </c:pt>
                <c:pt idx="843">
                  <c:v>210.75</c:v>
                </c:pt>
                <c:pt idx="844">
                  <c:v>211</c:v>
                </c:pt>
                <c:pt idx="845">
                  <c:v>211.25</c:v>
                </c:pt>
                <c:pt idx="846">
                  <c:v>211.5</c:v>
                </c:pt>
                <c:pt idx="847">
                  <c:v>211.75</c:v>
                </c:pt>
                <c:pt idx="848">
                  <c:v>212</c:v>
                </c:pt>
                <c:pt idx="849">
                  <c:v>212.25</c:v>
                </c:pt>
                <c:pt idx="850">
                  <c:v>212.5</c:v>
                </c:pt>
                <c:pt idx="851">
                  <c:v>212.75</c:v>
                </c:pt>
                <c:pt idx="852">
                  <c:v>213</c:v>
                </c:pt>
                <c:pt idx="853">
                  <c:v>213.25</c:v>
                </c:pt>
                <c:pt idx="854">
                  <c:v>213.5</c:v>
                </c:pt>
                <c:pt idx="855">
                  <c:v>213.75</c:v>
                </c:pt>
                <c:pt idx="856">
                  <c:v>214</c:v>
                </c:pt>
                <c:pt idx="857">
                  <c:v>214.25</c:v>
                </c:pt>
                <c:pt idx="858">
                  <c:v>214.5</c:v>
                </c:pt>
                <c:pt idx="859">
                  <c:v>214.75</c:v>
                </c:pt>
                <c:pt idx="860">
                  <c:v>215</c:v>
                </c:pt>
                <c:pt idx="861">
                  <c:v>215.25</c:v>
                </c:pt>
                <c:pt idx="862">
                  <c:v>215.5</c:v>
                </c:pt>
                <c:pt idx="863">
                  <c:v>215.75</c:v>
                </c:pt>
                <c:pt idx="864">
                  <c:v>216</c:v>
                </c:pt>
                <c:pt idx="865">
                  <c:v>216.25</c:v>
                </c:pt>
                <c:pt idx="866">
                  <c:v>216.5</c:v>
                </c:pt>
                <c:pt idx="867">
                  <c:v>216.75</c:v>
                </c:pt>
                <c:pt idx="868">
                  <c:v>217</c:v>
                </c:pt>
                <c:pt idx="869">
                  <c:v>217.25</c:v>
                </c:pt>
                <c:pt idx="870">
                  <c:v>217.5</c:v>
                </c:pt>
                <c:pt idx="871">
                  <c:v>217.75</c:v>
                </c:pt>
                <c:pt idx="872">
                  <c:v>218</c:v>
                </c:pt>
                <c:pt idx="873">
                  <c:v>218.25</c:v>
                </c:pt>
                <c:pt idx="874">
                  <c:v>218.5</c:v>
                </c:pt>
                <c:pt idx="875">
                  <c:v>218.75</c:v>
                </c:pt>
                <c:pt idx="876">
                  <c:v>219</c:v>
                </c:pt>
                <c:pt idx="877">
                  <c:v>219.25</c:v>
                </c:pt>
                <c:pt idx="878">
                  <c:v>219.5</c:v>
                </c:pt>
                <c:pt idx="879">
                  <c:v>219.75</c:v>
                </c:pt>
                <c:pt idx="880">
                  <c:v>220</c:v>
                </c:pt>
                <c:pt idx="881">
                  <c:v>220.25</c:v>
                </c:pt>
                <c:pt idx="882">
                  <c:v>220.5</c:v>
                </c:pt>
                <c:pt idx="883">
                  <c:v>220.75</c:v>
                </c:pt>
                <c:pt idx="884">
                  <c:v>221</c:v>
                </c:pt>
                <c:pt idx="885">
                  <c:v>221.25</c:v>
                </c:pt>
                <c:pt idx="886">
                  <c:v>221.5</c:v>
                </c:pt>
                <c:pt idx="887">
                  <c:v>221.75</c:v>
                </c:pt>
                <c:pt idx="888">
                  <c:v>222</c:v>
                </c:pt>
                <c:pt idx="889">
                  <c:v>222.25</c:v>
                </c:pt>
                <c:pt idx="890">
                  <c:v>222.5</c:v>
                </c:pt>
                <c:pt idx="891">
                  <c:v>222.75</c:v>
                </c:pt>
                <c:pt idx="892">
                  <c:v>223</c:v>
                </c:pt>
                <c:pt idx="893">
                  <c:v>223.25</c:v>
                </c:pt>
                <c:pt idx="894">
                  <c:v>223.5</c:v>
                </c:pt>
                <c:pt idx="895">
                  <c:v>223.75</c:v>
                </c:pt>
                <c:pt idx="896">
                  <c:v>224</c:v>
                </c:pt>
                <c:pt idx="897">
                  <c:v>224.25</c:v>
                </c:pt>
                <c:pt idx="898">
                  <c:v>224.5</c:v>
                </c:pt>
                <c:pt idx="899">
                  <c:v>224.75</c:v>
                </c:pt>
                <c:pt idx="900">
                  <c:v>225</c:v>
                </c:pt>
                <c:pt idx="901">
                  <c:v>225.25</c:v>
                </c:pt>
                <c:pt idx="902">
                  <c:v>225.5</c:v>
                </c:pt>
                <c:pt idx="903">
                  <c:v>225.75</c:v>
                </c:pt>
                <c:pt idx="904">
                  <c:v>226</c:v>
                </c:pt>
                <c:pt idx="905">
                  <c:v>226.25</c:v>
                </c:pt>
                <c:pt idx="906">
                  <c:v>226.5</c:v>
                </c:pt>
                <c:pt idx="907">
                  <c:v>226.75</c:v>
                </c:pt>
                <c:pt idx="908">
                  <c:v>227</c:v>
                </c:pt>
                <c:pt idx="909">
                  <c:v>227.25</c:v>
                </c:pt>
                <c:pt idx="910">
                  <c:v>227.5</c:v>
                </c:pt>
                <c:pt idx="911">
                  <c:v>227.75</c:v>
                </c:pt>
                <c:pt idx="912">
                  <c:v>228</c:v>
                </c:pt>
                <c:pt idx="913">
                  <c:v>228.25</c:v>
                </c:pt>
                <c:pt idx="914">
                  <c:v>228.5</c:v>
                </c:pt>
                <c:pt idx="915">
                  <c:v>228.75</c:v>
                </c:pt>
                <c:pt idx="916">
                  <c:v>229</c:v>
                </c:pt>
                <c:pt idx="917">
                  <c:v>229.25</c:v>
                </c:pt>
                <c:pt idx="918">
                  <c:v>229.5</c:v>
                </c:pt>
                <c:pt idx="919">
                  <c:v>229.75</c:v>
                </c:pt>
                <c:pt idx="920">
                  <c:v>230</c:v>
                </c:pt>
                <c:pt idx="921">
                  <c:v>230.25</c:v>
                </c:pt>
                <c:pt idx="922">
                  <c:v>230.5</c:v>
                </c:pt>
                <c:pt idx="923">
                  <c:v>230.75</c:v>
                </c:pt>
                <c:pt idx="924">
                  <c:v>231</c:v>
                </c:pt>
                <c:pt idx="925">
                  <c:v>231.25</c:v>
                </c:pt>
                <c:pt idx="926">
                  <c:v>231.5</c:v>
                </c:pt>
                <c:pt idx="927">
                  <c:v>231.75</c:v>
                </c:pt>
                <c:pt idx="928">
                  <c:v>232</c:v>
                </c:pt>
                <c:pt idx="929">
                  <c:v>232.25</c:v>
                </c:pt>
                <c:pt idx="930">
                  <c:v>232.5</c:v>
                </c:pt>
                <c:pt idx="931">
                  <c:v>232.75</c:v>
                </c:pt>
                <c:pt idx="932">
                  <c:v>233</c:v>
                </c:pt>
                <c:pt idx="933">
                  <c:v>233.25</c:v>
                </c:pt>
                <c:pt idx="934">
                  <c:v>233.5</c:v>
                </c:pt>
                <c:pt idx="935">
                  <c:v>233.75</c:v>
                </c:pt>
                <c:pt idx="936">
                  <c:v>234</c:v>
                </c:pt>
                <c:pt idx="937">
                  <c:v>234.25</c:v>
                </c:pt>
                <c:pt idx="938">
                  <c:v>234.5</c:v>
                </c:pt>
                <c:pt idx="939">
                  <c:v>234.75</c:v>
                </c:pt>
                <c:pt idx="940">
                  <c:v>235</c:v>
                </c:pt>
                <c:pt idx="941">
                  <c:v>235.25</c:v>
                </c:pt>
                <c:pt idx="942">
                  <c:v>235.5</c:v>
                </c:pt>
                <c:pt idx="943">
                  <c:v>235.75</c:v>
                </c:pt>
                <c:pt idx="944">
                  <c:v>236</c:v>
                </c:pt>
                <c:pt idx="945">
                  <c:v>236.25</c:v>
                </c:pt>
                <c:pt idx="946">
                  <c:v>236.5</c:v>
                </c:pt>
                <c:pt idx="947">
                  <c:v>236.75</c:v>
                </c:pt>
                <c:pt idx="948">
                  <c:v>237</c:v>
                </c:pt>
                <c:pt idx="949">
                  <c:v>237.25</c:v>
                </c:pt>
                <c:pt idx="950">
                  <c:v>237.5</c:v>
                </c:pt>
                <c:pt idx="951">
                  <c:v>237.75</c:v>
                </c:pt>
                <c:pt idx="952">
                  <c:v>238</c:v>
                </c:pt>
                <c:pt idx="953">
                  <c:v>238.25</c:v>
                </c:pt>
                <c:pt idx="954">
                  <c:v>238.5</c:v>
                </c:pt>
                <c:pt idx="955">
                  <c:v>238.75</c:v>
                </c:pt>
                <c:pt idx="956">
                  <c:v>239</c:v>
                </c:pt>
                <c:pt idx="957">
                  <c:v>239.25</c:v>
                </c:pt>
                <c:pt idx="958">
                  <c:v>239.5</c:v>
                </c:pt>
                <c:pt idx="959">
                  <c:v>239.75</c:v>
                </c:pt>
                <c:pt idx="960">
                  <c:v>240</c:v>
                </c:pt>
                <c:pt idx="961">
                  <c:v>240.25</c:v>
                </c:pt>
                <c:pt idx="962">
                  <c:v>240.5</c:v>
                </c:pt>
                <c:pt idx="963">
                  <c:v>240.75</c:v>
                </c:pt>
                <c:pt idx="964">
                  <c:v>241</c:v>
                </c:pt>
                <c:pt idx="965">
                  <c:v>241.25</c:v>
                </c:pt>
                <c:pt idx="966">
                  <c:v>241.5</c:v>
                </c:pt>
                <c:pt idx="967">
                  <c:v>241.75</c:v>
                </c:pt>
                <c:pt idx="968">
                  <c:v>242</c:v>
                </c:pt>
                <c:pt idx="969">
                  <c:v>242.25</c:v>
                </c:pt>
                <c:pt idx="970">
                  <c:v>242.5</c:v>
                </c:pt>
                <c:pt idx="971">
                  <c:v>242.75</c:v>
                </c:pt>
                <c:pt idx="972">
                  <c:v>243</c:v>
                </c:pt>
                <c:pt idx="973">
                  <c:v>243.25</c:v>
                </c:pt>
                <c:pt idx="974">
                  <c:v>243.5</c:v>
                </c:pt>
                <c:pt idx="975">
                  <c:v>243.75</c:v>
                </c:pt>
                <c:pt idx="976">
                  <c:v>244</c:v>
                </c:pt>
                <c:pt idx="977">
                  <c:v>244.25</c:v>
                </c:pt>
                <c:pt idx="978">
                  <c:v>244.5</c:v>
                </c:pt>
                <c:pt idx="979">
                  <c:v>244.75</c:v>
                </c:pt>
                <c:pt idx="980">
                  <c:v>245</c:v>
                </c:pt>
                <c:pt idx="981">
                  <c:v>245.25</c:v>
                </c:pt>
                <c:pt idx="982">
                  <c:v>245.5</c:v>
                </c:pt>
                <c:pt idx="983">
                  <c:v>245.75</c:v>
                </c:pt>
                <c:pt idx="984">
                  <c:v>246</c:v>
                </c:pt>
                <c:pt idx="985">
                  <c:v>246.25</c:v>
                </c:pt>
                <c:pt idx="986">
                  <c:v>246.5</c:v>
                </c:pt>
                <c:pt idx="987">
                  <c:v>246.75</c:v>
                </c:pt>
                <c:pt idx="988">
                  <c:v>247</c:v>
                </c:pt>
                <c:pt idx="989">
                  <c:v>247.25</c:v>
                </c:pt>
                <c:pt idx="990">
                  <c:v>247.5</c:v>
                </c:pt>
                <c:pt idx="991">
                  <c:v>247.75</c:v>
                </c:pt>
                <c:pt idx="992">
                  <c:v>248</c:v>
                </c:pt>
                <c:pt idx="993">
                  <c:v>248.25</c:v>
                </c:pt>
                <c:pt idx="994">
                  <c:v>248.5</c:v>
                </c:pt>
                <c:pt idx="995">
                  <c:v>248.75</c:v>
                </c:pt>
                <c:pt idx="996">
                  <c:v>249</c:v>
                </c:pt>
                <c:pt idx="997">
                  <c:v>249.25</c:v>
                </c:pt>
                <c:pt idx="998">
                  <c:v>249.5</c:v>
                </c:pt>
                <c:pt idx="999">
                  <c:v>249.75</c:v>
                </c:pt>
                <c:pt idx="1000">
                  <c:v>250</c:v>
                </c:pt>
                <c:pt idx="1001">
                  <c:v>250.25</c:v>
                </c:pt>
                <c:pt idx="1002">
                  <c:v>250.5</c:v>
                </c:pt>
                <c:pt idx="1003">
                  <c:v>250.75</c:v>
                </c:pt>
                <c:pt idx="1004">
                  <c:v>251</c:v>
                </c:pt>
                <c:pt idx="1005">
                  <c:v>251.25</c:v>
                </c:pt>
                <c:pt idx="1006">
                  <c:v>251.5</c:v>
                </c:pt>
                <c:pt idx="1007">
                  <c:v>251.75</c:v>
                </c:pt>
                <c:pt idx="1008">
                  <c:v>252</c:v>
                </c:pt>
                <c:pt idx="1009">
                  <c:v>252.25</c:v>
                </c:pt>
                <c:pt idx="1010">
                  <c:v>252.5</c:v>
                </c:pt>
                <c:pt idx="1011">
                  <c:v>252.75</c:v>
                </c:pt>
                <c:pt idx="1012">
                  <c:v>253</c:v>
                </c:pt>
                <c:pt idx="1013">
                  <c:v>253.25</c:v>
                </c:pt>
                <c:pt idx="1014">
                  <c:v>253.5</c:v>
                </c:pt>
                <c:pt idx="1015">
                  <c:v>253.75</c:v>
                </c:pt>
                <c:pt idx="1016">
                  <c:v>254</c:v>
                </c:pt>
                <c:pt idx="1017">
                  <c:v>254.25</c:v>
                </c:pt>
                <c:pt idx="1018">
                  <c:v>254.5</c:v>
                </c:pt>
                <c:pt idx="1019">
                  <c:v>254.75</c:v>
                </c:pt>
                <c:pt idx="1020">
                  <c:v>255</c:v>
                </c:pt>
                <c:pt idx="1021">
                  <c:v>255.25</c:v>
                </c:pt>
                <c:pt idx="1022">
                  <c:v>255.5</c:v>
                </c:pt>
                <c:pt idx="1023">
                  <c:v>255.75</c:v>
                </c:pt>
                <c:pt idx="1024">
                  <c:v>256</c:v>
                </c:pt>
                <c:pt idx="1025">
                  <c:v>256.25</c:v>
                </c:pt>
                <c:pt idx="1026">
                  <c:v>256.5</c:v>
                </c:pt>
                <c:pt idx="1027">
                  <c:v>256.75</c:v>
                </c:pt>
                <c:pt idx="1028">
                  <c:v>257</c:v>
                </c:pt>
                <c:pt idx="1029">
                  <c:v>257.25</c:v>
                </c:pt>
                <c:pt idx="1030">
                  <c:v>257.5</c:v>
                </c:pt>
                <c:pt idx="1031">
                  <c:v>257.75</c:v>
                </c:pt>
                <c:pt idx="1032">
                  <c:v>258</c:v>
                </c:pt>
                <c:pt idx="1033">
                  <c:v>258.25</c:v>
                </c:pt>
                <c:pt idx="1034">
                  <c:v>258.5</c:v>
                </c:pt>
                <c:pt idx="1035">
                  <c:v>258.75</c:v>
                </c:pt>
                <c:pt idx="1036">
                  <c:v>259</c:v>
                </c:pt>
                <c:pt idx="1037">
                  <c:v>259.25</c:v>
                </c:pt>
                <c:pt idx="1038">
                  <c:v>259.5</c:v>
                </c:pt>
                <c:pt idx="1039">
                  <c:v>259.75</c:v>
                </c:pt>
                <c:pt idx="1040">
                  <c:v>260</c:v>
                </c:pt>
                <c:pt idx="1041">
                  <c:v>260.25</c:v>
                </c:pt>
                <c:pt idx="1042">
                  <c:v>260.5</c:v>
                </c:pt>
                <c:pt idx="1043">
                  <c:v>260.75</c:v>
                </c:pt>
                <c:pt idx="1044">
                  <c:v>261</c:v>
                </c:pt>
                <c:pt idx="1045">
                  <c:v>261.25</c:v>
                </c:pt>
                <c:pt idx="1046">
                  <c:v>261.5</c:v>
                </c:pt>
                <c:pt idx="1047">
                  <c:v>261.75</c:v>
                </c:pt>
                <c:pt idx="1048">
                  <c:v>262</c:v>
                </c:pt>
                <c:pt idx="1049">
                  <c:v>262.25</c:v>
                </c:pt>
                <c:pt idx="1050">
                  <c:v>262.5</c:v>
                </c:pt>
                <c:pt idx="1051">
                  <c:v>262.75</c:v>
                </c:pt>
                <c:pt idx="1052">
                  <c:v>263</c:v>
                </c:pt>
                <c:pt idx="1053">
                  <c:v>263.25</c:v>
                </c:pt>
                <c:pt idx="1054">
                  <c:v>263.5</c:v>
                </c:pt>
                <c:pt idx="1055">
                  <c:v>263.75</c:v>
                </c:pt>
                <c:pt idx="1056">
                  <c:v>264</c:v>
                </c:pt>
                <c:pt idx="1057">
                  <c:v>264.25</c:v>
                </c:pt>
                <c:pt idx="1058">
                  <c:v>264.5</c:v>
                </c:pt>
                <c:pt idx="1059">
                  <c:v>264.75</c:v>
                </c:pt>
                <c:pt idx="1060">
                  <c:v>265</c:v>
                </c:pt>
                <c:pt idx="1061">
                  <c:v>265.25</c:v>
                </c:pt>
                <c:pt idx="1062">
                  <c:v>265.5</c:v>
                </c:pt>
                <c:pt idx="1063">
                  <c:v>265.75</c:v>
                </c:pt>
                <c:pt idx="1064">
                  <c:v>266</c:v>
                </c:pt>
                <c:pt idx="1065">
                  <c:v>266.25</c:v>
                </c:pt>
                <c:pt idx="1066">
                  <c:v>266.5</c:v>
                </c:pt>
                <c:pt idx="1067">
                  <c:v>266.75</c:v>
                </c:pt>
                <c:pt idx="1068">
                  <c:v>267</c:v>
                </c:pt>
                <c:pt idx="1069">
                  <c:v>267.25</c:v>
                </c:pt>
                <c:pt idx="1070">
                  <c:v>267.5</c:v>
                </c:pt>
                <c:pt idx="1071">
                  <c:v>267.75</c:v>
                </c:pt>
                <c:pt idx="1072">
                  <c:v>268</c:v>
                </c:pt>
                <c:pt idx="1073">
                  <c:v>268.25</c:v>
                </c:pt>
                <c:pt idx="1074">
                  <c:v>268.5</c:v>
                </c:pt>
                <c:pt idx="1075">
                  <c:v>268.75</c:v>
                </c:pt>
                <c:pt idx="1076">
                  <c:v>269</c:v>
                </c:pt>
                <c:pt idx="1077">
                  <c:v>269.25</c:v>
                </c:pt>
                <c:pt idx="1078">
                  <c:v>269.5</c:v>
                </c:pt>
                <c:pt idx="1079">
                  <c:v>269.75</c:v>
                </c:pt>
                <c:pt idx="1080">
                  <c:v>270</c:v>
                </c:pt>
                <c:pt idx="1081">
                  <c:v>270.25</c:v>
                </c:pt>
                <c:pt idx="1082">
                  <c:v>270.5</c:v>
                </c:pt>
                <c:pt idx="1083">
                  <c:v>270.75</c:v>
                </c:pt>
                <c:pt idx="1084">
                  <c:v>271</c:v>
                </c:pt>
                <c:pt idx="1085">
                  <c:v>271.25</c:v>
                </c:pt>
                <c:pt idx="1086">
                  <c:v>271.5</c:v>
                </c:pt>
                <c:pt idx="1087">
                  <c:v>271.75</c:v>
                </c:pt>
                <c:pt idx="1088">
                  <c:v>272</c:v>
                </c:pt>
                <c:pt idx="1089">
                  <c:v>272.25</c:v>
                </c:pt>
                <c:pt idx="1090">
                  <c:v>272.5</c:v>
                </c:pt>
                <c:pt idx="1091">
                  <c:v>272.75</c:v>
                </c:pt>
                <c:pt idx="1092">
                  <c:v>273</c:v>
                </c:pt>
                <c:pt idx="1093">
                  <c:v>273.25</c:v>
                </c:pt>
                <c:pt idx="1094">
                  <c:v>273.5</c:v>
                </c:pt>
                <c:pt idx="1095">
                  <c:v>273.75</c:v>
                </c:pt>
                <c:pt idx="1096">
                  <c:v>274</c:v>
                </c:pt>
                <c:pt idx="1097">
                  <c:v>274.25</c:v>
                </c:pt>
                <c:pt idx="1098">
                  <c:v>274.5</c:v>
                </c:pt>
                <c:pt idx="1099">
                  <c:v>274.75</c:v>
                </c:pt>
                <c:pt idx="1100">
                  <c:v>275</c:v>
                </c:pt>
                <c:pt idx="1101">
                  <c:v>275.25</c:v>
                </c:pt>
                <c:pt idx="1102">
                  <c:v>275.5</c:v>
                </c:pt>
                <c:pt idx="1103">
                  <c:v>275.75</c:v>
                </c:pt>
                <c:pt idx="1104">
                  <c:v>276</c:v>
                </c:pt>
                <c:pt idx="1105">
                  <c:v>276.25</c:v>
                </c:pt>
                <c:pt idx="1106">
                  <c:v>276.5</c:v>
                </c:pt>
                <c:pt idx="1107">
                  <c:v>276.75</c:v>
                </c:pt>
                <c:pt idx="1108">
                  <c:v>277</c:v>
                </c:pt>
                <c:pt idx="1109">
                  <c:v>277.25</c:v>
                </c:pt>
                <c:pt idx="1110">
                  <c:v>277.5</c:v>
                </c:pt>
                <c:pt idx="1111">
                  <c:v>277.75</c:v>
                </c:pt>
                <c:pt idx="1112">
                  <c:v>278</c:v>
                </c:pt>
                <c:pt idx="1113">
                  <c:v>278.25</c:v>
                </c:pt>
                <c:pt idx="1114">
                  <c:v>278.5</c:v>
                </c:pt>
                <c:pt idx="1115">
                  <c:v>278.75</c:v>
                </c:pt>
                <c:pt idx="1116">
                  <c:v>279</c:v>
                </c:pt>
                <c:pt idx="1117">
                  <c:v>279.25</c:v>
                </c:pt>
                <c:pt idx="1118">
                  <c:v>279.5</c:v>
                </c:pt>
                <c:pt idx="1119">
                  <c:v>279.75</c:v>
                </c:pt>
                <c:pt idx="1120">
                  <c:v>280</c:v>
                </c:pt>
                <c:pt idx="1121">
                  <c:v>280.25</c:v>
                </c:pt>
                <c:pt idx="1122">
                  <c:v>280.5</c:v>
                </c:pt>
                <c:pt idx="1123">
                  <c:v>280.75</c:v>
                </c:pt>
                <c:pt idx="1124">
                  <c:v>281</c:v>
                </c:pt>
                <c:pt idx="1125">
                  <c:v>281.25</c:v>
                </c:pt>
                <c:pt idx="1126">
                  <c:v>281.5</c:v>
                </c:pt>
                <c:pt idx="1127">
                  <c:v>281.75</c:v>
                </c:pt>
                <c:pt idx="1128">
                  <c:v>282</c:v>
                </c:pt>
                <c:pt idx="1129">
                  <c:v>282.25</c:v>
                </c:pt>
                <c:pt idx="1130">
                  <c:v>282.5</c:v>
                </c:pt>
                <c:pt idx="1131">
                  <c:v>282.75</c:v>
                </c:pt>
                <c:pt idx="1132">
                  <c:v>283</c:v>
                </c:pt>
                <c:pt idx="1133">
                  <c:v>283.25</c:v>
                </c:pt>
                <c:pt idx="1134">
                  <c:v>283.5</c:v>
                </c:pt>
                <c:pt idx="1135">
                  <c:v>283.75</c:v>
                </c:pt>
                <c:pt idx="1136">
                  <c:v>284</c:v>
                </c:pt>
                <c:pt idx="1137">
                  <c:v>284.25</c:v>
                </c:pt>
                <c:pt idx="1138">
                  <c:v>284.5</c:v>
                </c:pt>
                <c:pt idx="1139">
                  <c:v>284.75</c:v>
                </c:pt>
                <c:pt idx="1140">
                  <c:v>285</c:v>
                </c:pt>
                <c:pt idx="1141">
                  <c:v>285.25</c:v>
                </c:pt>
                <c:pt idx="1142">
                  <c:v>285.5</c:v>
                </c:pt>
                <c:pt idx="1143">
                  <c:v>285.75</c:v>
                </c:pt>
                <c:pt idx="1144">
                  <c:v>286</c:v>
                </c:pt>
                <c:pt idx="1145">
                  <c:v>286.25</c:v>
                </c:pt>
                <c:pt idx="1146">
                  <c:v>286.5</c:v>
                </c:pt>
                <c:pt idx="1147">
                  <c:v>286.75</c:v>
                </c:pt>
                <c:pt idx="1148">
                  <c:v>287</c:v>
                </c:pt>
                <c:pt idx="1149">
                  <c:v>287.25</c:v>
                </c:pt>
                <c:pt idx="1150">
                  <c:v>287.5</c:v>
                </c:pt>
                <c:pt idx="1151">
                  <c:v>287.75</c:v>
                </c:pt>
                <c:pt idx="1152">
                  <c:v>288</c:v>
                </c:pt>
                <c:pt idx="1153">
                  <c:v>288.25</c:v>
                </c:pt>
                <c:pt idx="1154">
                  <c:v>288.5</c:v>
                </c:pt>
                <c:pt idx="1155">
                  <c:v>288.75</c:v>
                </c:pt>
                <c:pt idx="1156">
                  <c:v>289</c:v>
                </c:pt>
                <c:pt idx="1157">
                  <c:v>289.25</c:v>
                </c:pt>
                <c:pt idx="1158">
                  <c:v>289.5</c:v>
                </c:pt>
                <c:pt idx="1159">
                  <c:v>289.75</c:v>
                </c:pt>
                <c:pt idx="1160">
                  <c:v>290</c:v>
                </c:pt>
                <c:pt idx="1161">
                  <c:v>290.25</c:v>
                </c:pt>
                <c:pt idx="1162">
                  <c:v>290.5</c:v>
                </c:pt>
                <c:pt idx="1163">
                  <c:v>290.75</c:v>
                </c:pt>
                <c:pt idx="1164">
                  <c:v>291</c:v>
                </c:pt>
                <c:pt idx="1165">
                  <c:v>291.25</c:v>
                </c:pt>
                <c:pt idx="1166">
                  <c:v>291.5</c:v>
                </c:pt>
                <c:pt idx="1167">
                  <c:v>291.75</c:v>
                </c:pt>
                <c:pt idx="1168">
                  <c:v>292</c:v>
                </c:pt>
                <c:pt idx="1169">
                  <c:v>292.25</c:v>
                </c:pt>
                <c:pt idx="1170">
                  <c:v>292.5</c:v>
                </c:pt>
                <c:pt idx="1171">
                  <c:v>292.75</c:v>
                </c:pt>
                <c:pt idx="1172">
                  <c:v>293</c:v>
                </c:pt>
                <c:pt idx="1173">
                  <c:v>293.25</c:v>
                </c:pt>
                <c:pt idx="1174">
                  <c:v>293.5</c:v>
                </c:pt>
                <c:pt idx="1175">
                  <c:v>293.75</c:v>
                </c:pt>
                <c:pt idx="1176">
                  <c:v>294</c:v>
                </c:pt>
                <c:pt idx="1177">
                  <c:v>294.25</c:v>
                </c:pt>
                <c:pt idx="1178">
                  <c:v>294.5</c:v>
                </c:pt>
                <c:pt idx="1179">
                  <c:v>294.75</c:v>
                </c:pt>
                <c:pt idx="1180">
                  <c:v>295</c:v>
                </c:pt>
                <c:pt idx="1181">
                  <c:v>295.25</c:v>
                </c:pt>
                <c:pt idx="1182">
                  <c:v>295.5</c:v>
                </c:pt>
                <c:pt idx="1183">
                  <c:v>295.75</c:v>
                </c:pt>
                <c:pt idx="1184">
                  <c:v>296</c:v>
                </c:pt>
                <c:pt idx="1185">
                  <c:v>296.25</c:v>
                </c:pt>
                <c:pt idx="1186">
                  <c:v>296.5</c:v>
                </c:pt>
                <c:pt idx="1187">
                  <c:v>296.75</c:v>
                </c:pt>
                <c:pt idx="1188">
                  <c:v>297</c:v>
                </c:pt>
                <c:pt idx="1189">
                  <c:v>297.25</c:v>
                </c:pt>
                <c:pt idx="1190">
                  <c:v>297.5</c:v>
                </c:pt>
                <c:pt idx="1191">
                  <c:v>297.75</c:v>
                </c:pt>
                <c:pt idx="1192">
                  <c:v>298</c:v>
                </c:pt>
                <c:pt idx="1193">
                  <c:v>298.25</c:v>
                </c:pt>
                <c:pt idx="1194">
                  <c:v>298.5</c:v>
                </c:pt>
                <c:pt idx="1195">
                  <c:v>298.75</c:v>
                </c:pt>
                <c:pt idx="1196">
                  <c:v>299</c:v>
                </c:pt>
                <c:pt idx="1197">
                  <c:v>299.25</c:v>
                </c:pt>
                <c:pt idx="1198">
                  <c:v>299.5</c:v>
                </c:pt>
                <c:pt idx="1199">
                  <c:v>299.75</c:v>
                </c:pt>
                <c:pt idx="1200">
                  <c:v>300</c:v>
                </c:pt>
                <c:pt idx="1201">
                  <c:v>300.25</c:v>
                </c:pt>
                <c:pt idx="1202">
                  <c:v>300.5</c:v>
                </c:pt>
                <c:pt idx="1203">
                  <c:v>300.75</c:v>
                </c:pt>
                <c:pt idx="1204">
                  <c:v>301</c:v>
                </c:pt>
                <c:pt idx="1205">
                  <c:v>301.25</c:v>
                </c:pt>
                <c:pt idx="1206">
                  <c:v>301.5</c:v>
                </c:pt>
                <c:pt idx="1207">
                  <c:v>301.75</c:v>
                </c:pt>
                <c:pt idx="1208">
                  <c:v>302</c:v>
                </c:pt>
                <c:pt idx="1209">
                  <c:v>302.25</c:v>
                </c:pt>
                <c:pt idx="1210">
                  <c:v>302.5</c:v>
                </c:pt>
                <c:pt idx="1211">
                  <c:v>302.75</c:v>
                </c:pt>
                <c:pt idx="1212">
                  <c:v>303</c:v>
                </c:pt>
                <c:pt idx="1213">
                  <c:v>303.25</c:v>
                </c:pt>
                <c:pt idx="1214">
                  <c:v>303.5</c:v>
                </c:pt>
                <c:pt idx="1215">
                  <c:v>303.75</c:v>
                </c:pt>
                <c:pt idx="1216">
                  <c:v>304</c:v>
                </c:pt>
                <c:pt idx="1217">
                  <c:v>304.25</c:v>
                </c:pt>
                <c:pt idx="1218">
                  <c:v>304.5</c:v>
                </c:pt>
                <c:pt idx="1219">
                  <c:v>304.75</c:v>
                </c:pt>
                <c:pt idx="1220">
                  <c:v>305</c:v>
                </c:pt>
                <c:pt idx="1221">
                  <c:v>305.25</c:v>
                </c:pt>
                <c:pt idx="1222">
                  <c:v>305.5</c:v>
                </c:pt>
                <c:pt idx="1223">
                  <c:v>305.75</c:v>
                </c:pt>
                <c:pt idx="1224">
                  <c:v>306</c:v>
                </c:pt>
                <c:pt idx="1225">
                  <c:v>306.25</c:v>
                </c:pt>
                <c:pt idx="1226">
                  <c:v>306.5</c:v>
                </c:pt>
                <c:pt idx="1227">
                  <c:v>306.75</c:v>
                </c:pt>
                <c:pt idx="1228">
                  <c:v>307</c:v>
                </c:pt>
                <c:pt idx="1229">
                  <c:v>307.25</c:v>
                </c:pt>
                <c:pt idx="1230">
                  <c:v>307.5</c:v>
                </c:pt>
                <c:pt idx="1231">
                  <c:v>307.75</c:v>
                </c:pt>
                <c:pt idx="1232">
                  <c:v>308</c:v>
                </c:pt>
                <c:pt idx="1233">
                  <c:v>308.25</c:v>
                </c:pt>
                <c:pt idx="1234">
                  <c:v>308.5</c:v>
                </c:pt>
                <c:pt idx="1235">
                  <c:v>308.75</c:v>
                </c:pt>
                <c:pt idx="1236">
                  <c:v>309</c:v>
                </c:pt>
                <c:pt idx="1237">
                  <c:v>309.25</c:v>
                </c:pt>
                <c:pt idx="1238">
                  <c:v>309.5</c:v>
                </c:pt>
                <c:pt idx="1239">
                  <c:v>309.75</c:v>
                </c:pt>
                <c:pt idx="1240">
                  <c:v>310</c:v>
                </c:pt>
                <c:pt idx="1241">
                  <c:v>310.25</c:v>
                </c:pt>
                <c:pt idx="1242">
                  <c:v>310.5</c:v>
                </c:pt>
                <c:pt idx="1243">
                  <c:v>310.75</c:v>
                </c:pt>
                <c:pt idx="1244">
                  <c:v>311</c:v>
                </c:pt>
                <c:pt idx="1245">
                  <c:v>311.25</c:v>
                </c:pt>
                <c:pt idx="1246">
                  <c:v>311.5</c:v>
                </c:pt>
                <c:pt idx="1247">
                  <c:v>311.75</c:v>
                </c:pt>
                <c:pt idx="1248">
                  <c:v>312</c:v>
                </c:pt>
                <c:pt idx="1249">
                  <c:v>312.25</c:v>
                </c:pt>
                <c:pt idx="1250">
                  <c:v>312.5</c:v>
                </c:pt>
                <c:pt idx="1251">
                  <c:v>312.75</c:v>
                </c:pt>
                <c:pt idx="1252">
                  <c:v>313</c:v>
                </c:pt>
                <c:pt idx="1253">
                  <c:v>313.25</c:v>
                </c:pt>
                <c:pt idx="1254">
                  <c:v>313.5</c:v>
                </c:pt>
                <c:pt idx="1255">
                  <c:v>313.75</c:v>
                </c:pt>
                <c:pt idx="1256">
                  <c:v>314</c:v>
                </c:pt>
                <c:pt idx="1257">
                  <c:v>314.25</c:v>
                </c:pt>
                <c:pt idx="1258">
                  <c:v>314.5</c:v>
                </c:pt>
                <c:pt idx="1259">
                  <c:v>314.75</c:v>
                </c:pt>
                <c:pt idx="1260">
                  <c:v>315</c:v>
                </c:pt>
                <c:pt idx="1261">
                  <c:v>315.25</c:v>
                </c:pt>
                <c:pt idx="1262">
                  <c:v>315.5</c:v>
                </c:pt>
                <c:pt idx="1263">
                  <c:v>315.75</c:v>
                </c:pt>
                <c:pt idx="1264">
                  <c:v>316</c:v>
                </c:pt>
                <c:pt idx="1265">
                  <c:v>316.25</c:v>
                </c:pt>
                <c:pt idx="1266">
                  <c:v>316.5</c:v>
                </c:pt>
                <c:pt idx="1267">
                  <c:v>316.75</c:v>
                </c:pt>
                <c:pt idx="1268">
                  <c:v>317</c:v>
                </c:pt>
                <c:pt idx="1269">
                  <c:v>317.25</c:v>
                </c:pt>
                <c:pt idx="1270">
                  <c:v>317.5</c:v>
                </c:pt>
                <c:pt idx="1271">
                  <c:v>317.75</c:v>
                </c:pt>
                <c:pt idx="1272">
                  <c:v>318</c:v>
                </c:pt>
                <c:pt idx="1273">
                  <c:v>318.25</c:v>
                </c:pt>
                <c:pt idx="1274">
                  <c:v>318.5</c:v>
                </c:pt>
                <c:pt idx="1275">
                  <c:v>318.75</c:v>
                </c:pt>
                <c:pt idx="1276">
                  <c:v>319</c:v>
                </c:pt>
                <c:pt idx="1277">
                  <c:v>319.25</c:v>
                </c:pt>
                <c:pt idx="1278">
                  <c:v>319.5</c:v>
                </c:pt>
                <c:pt idx="1279">
                  <c:v>319.75</c:v>
                </c:pt>
                <c:pt idx="1280">
                  <c:v>320</c:v>
                </c:pt>
                <c:pt idx="1281">
                  <c:v>320.25</c:v>
                </c:pt>
                <c:pt idx="1282">
                  <c:v>320.5</c:v>
                </c:pt>
                <c:pt idx="1283">
                  <c:v>320.75</c:v>
                </c:pt>
                <c:pt idx="1284">
                  <c:v>321</c:v>
                </c:pt>
                <c:pt idx="1285">
                  <c:v>321.25</c:v>
                </c:pt>
                <c:pt idx="1286">
                  <c:v>321.5</c:v>
                </c:pt>
                <c:pt idx="1287">
                  <c:v>321.75</c:v>
                </c:pt>
                <c:pt idx="1288">
                  <c:v>322</c:v>
                </c:pt>
                <c:pt idx="1289">
                  <c:v>322.25</c:v>
                </c:pt>
                <c:pt idx="1290">
                  <c:v>322.5</c:v>
                </c:pt>
                <c:pt idx="1291">
                  <c:v>322.75</c:v>
                </c:pt>
                <c:pt idx="1292">
                  <c:v>323</c:v>
                </c:pt>
                <c:pt idx="1293">
                  <c:v>323.25</c:v>
                </c:pt>
                <c:pt idx="1294">
                  <c:v>323.5</c:v>
                </c:pt>
                <c:pt idx="1295">
                  <c:v>323.75</c:v>
                </c:pt>
                <c:pt idx="1296">
                  <c:v>324</c:v>
                </c:pt>
                <c:pt idx="1297">
                  <c:v>324.25</c:v>
                </c:pt>
                <c:pt idx="1298">
                  <c:v>324.5</c:v>
                </c:pt>
                <c:pt idx="1299">
                  <c:v>324.75</c:v>
                </c:pt>
                <c:pt idx="1300">
                  <c:v>325</c:v>
                </c:pt>
                <c:pt idx="1301">
                  <c:v>325.25</c:v>
                </c:pt>
                <c:pt idx="1302">
                  <c:v>325.5</c:v>
                </c:pt>
                <c:pt idx="1303">
                  <c:v>325.75</c:v>
                </c:pt>
                <c:pt idx="1304">
                  <c:v>326</c:v>
                </c:pt>
                <c:pt idx="1305">
                  <c:v>326.25</c:v>
                </c:pt>
                <c:pt idx="1306">
                  <c:v>326.5</c:v>
                </c:pt>
                <c:pt idx="1307">
                  <c:v>326.75</c:v>
                </c:pt>
                <c:pt idx="1308">
                  <c:v>327</c:v>
                </c:pt>
                <c:pt idx="1309">
                  <c:v>327.25</c:v>
                </c:pt>
                <c:pt idx="1310">
                  <c:v>327.5</c:v>
                </c:pt>
                <c:pt idx="1311">
                  <c:v>327.75</c:v>
                </c:pt>
                <c:pt idx="1312">
                  <c:v>328</c:v>
                </c:pt>
                <c:pt idx="1313">
                  <c:v>328.25</c:v>
                </c:pt>
                <c:pt idx="1314">
                  <c:v>328.5</c:v>
                </c:pt>
                <c:pt idx="1315">
                  <c:v>328.75</c:v>
                </c:pt>
                <c:pt idx="1316">
                  <c:v>329</c:v>
                </c:pt>
                <c:pt idx="1317">
                  <c:v>329.25</c:v>
                </c:pt>
                <c:pt idx="1318">
                  <c:v>329.5</c:v>
                </c:pt>
                <c:pt idx="1319">
                  <c:v>329.75</c:v>
                </c:pt>
                <c:pt idx="1320">
                  <c:v>330</c:v>
                </c:pt>
                <c:pt idx="1321">
                  <c:v>330.25</c:v>
                </c:pt>
                <c:pt idx="1322">
                  <c:v>330.5</c:v>
                </c:pt>
                <c:pt idx="1323">
                  <c:v>330.75</c:v>
                </c:pt>
                <c:pt idx="1324">
                  <c:v>331</c:v>
                </c:pt>
                <c:pt idx="1325">
                  <c:v>331.25</c:v>
                </c:pt>
                <c:pt idx="1326">
                  <c:v>331.5</c:v>
                </c:pt>
                <c:pt idx="1327">
                  <c:v>331.75</c:v>
                </c:pt>
                <c:pt idx="1328">
                  <c:v>332</c:v>
                </c:pt>
                <c:pt idx="1329">
                  <c:v>332.25</c:v>
                </c:pt>
                <c:pt idx="1330">
                  <c:v>332.5</c:v>
                </c:pt>
                <c:pt idx="1331">
                  <c:v>332.75</c:v>
                </c:pt>
                <c:pt idx="1332">
                  <c:v>333</c:v>
                </c:pt>
                <c:pt idx="1333">
                  <c:v>333.25</c:v>
                </c:pt>
                <c:pt idx="1334">
                  <c:v>333.5</c:v>
                </c:pt>
                <c:pt idx="1335">
                  <c:v>333.75</c:v>
                </c:pt>
                <c:pt idx="1336">
                  <c:v>334</c:v>
                </c:pt>
                <c:pt idx="1337">
                  <c:v>334.25</c:v>
                </c:pt>
                <c:pt idx="1338">
                  <c:v>334.5</c:v>
                </c:pt>
                <c:pt idx="1339">
                  <c:v>334.75</c:v>
                </c:pt>
                <c:pt idx="1340">
                  <c:v>335</c:v>
                </c:pt>
                <c:pt idx="1341">
                  <c:v>335.25</c:v>
                </c:pt>
                <c:pt idx="1342">
                  <c:v>335.5</c:v>
                </c:pt>
                <c:pt idx="1343">
                  <c:v>335.75</c:v>
                </c:pt>
                <c:pt idx="1344">
                  <c:v>336</c:v>
                </c:pt>
                <c:pt idx="1345">
                  <c:v>336.25</c:v>
                </c:pt>
                <c:pt idx="1346">
                  <c:v>336.5</c:v>
                </c:pt>
                <c:pt idx="1347">
                  <c:v>336.75</c:v>
                </c:pt>
                <c:pt idx="1348">
                  <c:v>337</c:v>
                </c:pt>
                <c:pt idx="1349">
                  <c:v>337.25</c:v>
                </c:pt>
                <c:pt idx="1350">
                  <c:v>337.5</c:v>
                </c:pt>
                <c:pt idx="1351">
                  <c:v>337.75</c:v>
                </c:pt>
                <c:pt idx="1352">
                  <c:v>338</c:v>
                </c:pt>
                <c:pt idx="1353">
                  <c:v>338.25</c:v>
                </c:pt>
                <c:pt idx="1354">
                  <c:v>338.5</c:v>
                </c:pt>
                <c:pt idx="1355">
                  <c:v>338.75</c:v>
                </c:pt>
                <c:pt idx="1356">
                  <c:v>339</c:v>
                </c:pt>
                <c:pt idx="1357">
                  <c:v>339.25</c:v>
                </c:pt>
                <c:pt idx="1358">
                  <c:v>339.5</c:v>
                </c:pt>
                <c:pt idx="1359">
                  <c:v>339.75</c:v>
                </c:pt>
                <c:pt idx="1360">
                  <c:v>340</c:v>
                </c:pt>
                <c:pt idx="1361">
                  <c:v>340.25</c:v>
                </c:pt>
                <c:pt idx="1362">
                  <c:v>340.5</c:v>
                </c:pt>
                <c:pt idx="1363">
                  <c:v>340.75</c:v>
                </c:pt>
                <c:pt idx="1364">
                  <c:v>341</c:v>
                </c:pt>
                <c:pt idx="1365">
                  <c:v>341.25</c:v>
                </c:pt>
                <c:pt idx="1366">
                  <c:v>341.5</c:v>
                </c:pt>
                <c:pt idx="1367">
                  <c:v>341.75</c:v>
                </c:pt>
                <c:pt idx="1368">
                  <c:v>342</c:v>
                </c:pt>
                <c:pt idx="1369">
                  <c:v>342.25</c:v>
                </c:pt>
                <c:pt idx="1370">
                  <c:v>342.5</c:v>
                </c:pt>
                <c:pt idx="1371">
                  <c:v>342.75</c:v>
                </c:pt>
                <c:pt idx="1372">
                  <c:v>343</c:v>
                </c:pt>
                <c:pt idx="1373">
                  <c:v>343.25</c:v>
                </c:pt>
                <c:pt idx="1374">
                  <c:v>343.5</c:v>
                </c:pt>
                <c:pt idx="1375">
                  <c:v>343.75</c:v>
                </c:pt>
                <c:pt idx="1376">
                  <c:v>344</c:v>
                </c:pt>
                <c:pt idx="1377">
                  <c:v>344.25</c:v>
                </c:pt>
                <c:pt idx="1378">
                  <c:v>344.5</c:v>
                </c:pt>
                <c:pt idx="1379">
                  <c:v>344.75</c:v>
                </c:pt>
                <c:pt idx="1380">
                  <c:v>345</c:v>
                </c:pt>
                <c:pt idx="1381">
                  <c:v>345.25</c:v>
                </c:pt>
                <c:pt idx="1382">
                  <c:v>345.5</c:v>
                </c:pt>
                <c:pt idx="1383">
                  <c:v>345.75</c:v>
                </c:pt>
                <c:pt idx="1384">
                  <c:v>346</c:v>
                </c:pt>
                <c:pt idx="1385">
                  <c:v>346.25</c:v>
                </c:pt>
                <c:pt idx="1386">
                  <c:v>346.5</c:v>
                </c:pt>
                <c:pt idx="1387">
                  <c:v>346.75</c:v>
                </c:pt>
                <c:pt idx="1388">
                  <c:v>347</c:v>
                </c:pt>
                <c:pt idx="1389">
                  <c:v>347.25</c:v>
                </c:pt>
                <c:pt idx="1390">
                  <c:v>347.5</c:v>
                </c:pt>
                <c:pt idx="1391">
                  <c:v>347.75</c:v>
                </c:pt>
                <c:pt idx="1392">
                  <c:v>348</c:v>
                </c:pt>
                <c:pt idx="1393">
                  <c:v>348.25</c:v>
                </c:pt>
                <c:pt idx="1394">
                  <c:v>348.5</c:v>
                </c:pt>
                <c:pt idx="1395">
                  <c:v>348.75</c:v>
                </c:pt>
                <c:pt idx="1396">
                  <c:v>349</c:v>
                </c:pt>
                <c:pt idx="1397">
                  <c:v>349.25</c:v>
                </c:pt>
                <c:pt idx="1398">
                  <c:v>349.5</c:v>
                </c:pt>
                <c:pt idx="1399">
                  <c:v>349.75</c:v>
                </c:pt>
                <c:pt idx="1400">
                  <c:v>350</c:v>
                </c:pt>
                <c:pt idx="1401">
                  <c:v>350.25</c:v>
                </c:pt>
                <c:pt idx="1402">
                  <c:v>350.5</c:v>
                </c:pt>
                <c:pt idx="1403">
                  <c:v>350.75</c:v>
                </c:pt>
                <c:pt idx="1404">
                  <c:v>351</c:v>
                </c:pt>
                <c:pt idx="1405">
                  <c:v>351.25</c:v>
                </c:pt>
                <c:pt idx="1406">
                  <c:v>351.5</c:v>
                </c:pt>
                <c:pt idx="1407">
                  <c:v>351.75</c:v>
                </c:pt>
                <c:pt idx="1408">
                  <c:v>352</c:v>
                </c:pt>
                <c:pt idx="1409">
                  <c:v>352.25</c:v>
                </c:pt>
                <c:pt idx="1410">
                  <c:v>352.5</c:v>
                </c:pt>
                <c:pt idx="1411">
                  <c:v>352.75</c:v>
                </c:pt>
                <c:pt idx="1412">
                  <c:v>353</c:v>
                </c:pt>
                <c:pt idx="1413">
                  <c:v>353.25</c:v>
                </c:pt>
                <c:pt idx="1414">
                  <c:v>353.5</c:v>
                </c:pt>
                <c:pt idx="1415">
                  <c:v>353.75</c:v>
                </c:pt>
                <c:pt idx="1416">
                  <c:v>354</c:v>
                </c:pt>
                <c:pt idx="1417">
                  <c:v>354.25</c:v>
                </c:pt>
                <c:pt idx="1418">
                  <c:v>354.5</c:v>
                </c:pt>
                <c:pt idx="1419">
                  <c:v>354.75</c:v>
                </c:pt>
                <c:pt idx="1420">
                  <c:v>355</c:v>
                </c:pt>
                <c:pt idx="1421">
                  <c:v>355.25</c:v>
                </c:pt>
                <c:pt idx="1422">
                  <c:v>355.5</c:v>
                </c:pt>
                <c:pt idx="1423">
                  <c:v>355.75</c:v>
                </c:pt>
                <c:pt idx="1424">
                  <c:v>356</c:v>
                </c:pt>
                <c:pt idx="1425">
                  <c:v>356.25</c:v>
                </c:pt>
                <c:pt idx="1426">
                  <c:v>356.5</c:v>
                </c:pt>
                <c:pt idx="1427">
                  <c:v>356.75</c:v>
                </c:pt>
                <c:pt idx="1428">
                  <c:v>357</c:v>
                </c:pt>
                <c:pt idx="1429">
                  <c:v>357.25</c:v>
                </c:pt>
                <c:pt idx="1430">
                  <c:v>357.5</c:v>
                </c:pt>
                <c:pt idx="1431">
                  <c:v>357.75</c:v>
                </c:pt>
                <c:pt idx="1432">
                  <c:v>358</c:v>
                </c:pt>
                <c:pt idx="1433">
                  <c:v>358.25</c:v>
                </c:pt>
                <c:pt idx="1434">
                  <c:v>358.5</c:v>
                </c:pt>
                <c:pt idx="1435">
                  <c:v>358.75</c:v>
                </c:pt>
                <c:pt idx="1436">
                  <c:v>359</c:v>
                </c:pt>
                <c:pt idx="1437">
                  <c:v>359.25</c:v>
                </c:pt>
                <c:pt idx="1438">
                  <c:v>359.5</c:v>
                </c:pt>
                <c:pt idx="1439">
                  <c:v>359.75</c:v>
                </c:pt>
                <c:pt idx="1440">
                  <c:v>360</c:v>
                </c:pt>
                <c:pt idx="1441">
                  <c:v>360.25</c:v>
                </c:pt>
                <c:pt idx="1442">
                  <c:v>360.5</c:v>
                </c:pt>
                <c:pt idx="1443">
                  <c:v>360.75</c:v>
                </c:pt>
                <c:pt idx="1444">
                  <c:v>361</c:v>
                </c:pt>
                <c:pt idx="1445">
                  <c:v>361.25</c:v>
                </c:pt>
                <c:pt idx="1446">
                  <c:v>361.5</c:v>
                </c:pt>
                <c:pt idx="1447">
                  <c:v>361.75</c:v>
                </c:pt>
                <c:pt idx="1448">
                  <c:v>362</c:v>
                </c:pt>
                <c:pt idx="1449">
                  <c:v>362.25</c:v>
                </c:pt>
                <c:pt idx="1450">
                  <c:v>362.5</c:v>
                </c:pt>
                <c:pt idx="1451">
                  <c:v>362.75</c:v>
                </c:pt>
                <c:pt idx="1452">
                  <c:v>363</c:v>
                </c:pt>
                <c:pt idx="1453">
                  <c:v>363.25</c:v>
                </c:pt>
                <c:pt idx="1454">
                  <c:v>363.5</c:v>
                </c:pt>
                <c:pt idx="1455">
                  <c:v>363.75</c:v>
                </c:pt>
                <c:pt idx="1456">
                  <c:v>364</c:v>
                </c:pt>
                <c:pt idx="1457">
                  <c:v>364.25</c:v>
                </c:pt>
                <c:pt idx="1458">
                  <c:v>364.5</c:v>
                </c:pt>
                <c:pt idx="1459">
                  <c:v>364.75</c:v>
                </c:pt>
                <c:pt idx="1460">
                  <c:v>365</c:v>
                </c:pt>
                <c:pt idx="1461">
                  <c:v>365.25</c:v>
                </c:pt>
                <c:pt idx="1462">
                  <c:v>365.5</c:v>
                </c:pt>
                <c:pt idx="1463">
                  <c:v>365.75</c:v>
                </c:pt>
                <c:pt idx="1464">
                  <c:v>366</c:v>
                </c:pt>
                <c:pt idx="1465">
                  <c:v>366.25</c:v>
                </c:pt>
                <c:pt idx="1466">
                  <c:v>366.5</c:v>
                </c:pt>
                <c:pt idx="1467">
                  <c:v>366.75</c:v>
                </c:pt>
                <c:pt idx="1468">
                  <c:v>367</c:v>
                </c:pt>
                <c:pt idx="1469">
                  <c:v>367.25</c:v>
                </c:pt>
                <c:pt idx="1470">
                  <c:v>367.5</c:v>
                </c:pt>
                <c:pt idx="1471">
                  <c:v>367.75</c:v>
                </c:pt>
                <c:pt idx="1472">
                  <c:v>368</c:v>
                </c:pt>
                <c:pt idx="1473">
                  <c:v>368.25</c:v>
                </c:pt>
                <c:pt idx="1474">
                  <c:v>368.5</c:v>
                </c:pt>
                <c:pt idx="1475">
                  <c:v>368.75</c:v>
                </c:pt>
                <c:pt idx="1476">
                  <c:v>369</c:v>
                </c:pt>
                <c:pt idx="1477">
                  <c:v>369.25</c:v>
                </c:pt>
                <c:pt idx="1478">
                  <c:v>369.5</c:v>
                </c:pt>
                <c:pt idx="1479">
                  <c:v>369.75</c:v>
                </c:pt>
                <c:pt idx="1480">
                  <c:v>370</c:v>
                </c:pt>
                <c:pt idx="1481">
                  <c:v>370.25</c:v>
                </c:pt>
                <c:pt idx="1482">
                  <c:v>370.5</c:v>
                </c:pt>
                <c:pt idx="1483">
                  <c:v>370.75</c:v>
                </c:pt>
                <c:pt idx="1484">
                  <c:v>371</c:v>
                </c:pt>
                <c:pt idx="1485">
                  <c:v>371.25</c:v>
                </c:pt>
                <c:pt idx="1486">
                  <c:v>371.5</c:v>
                </c:pt>
                <c:pt idx="1487">
                  <c:v>371.75</c:v>
                </c:pt>
                <c:pt idx="1488">
                  <c:v>372</c:v>
                </c:pt>
                <c:pt idx="1489">
                  <c:v>372.25</c:v>
                </c:pt>
                <c:pt idx="1490">
                  <c:v>372.5</c:v>
                </c:pt>
                <c:pt idx="1491">
                  <c:v>372.75</c:v>
                </c:pt>
                <c:pt idx="1492">
                  <c:v>373</c:v>
                </c:pt>
                <c:pt idx="1493">
                  <c:v>373.25</c:v>
                </c:pt>
                <c:pt idx="1494">
                  <c:v>373.5</c:v>
                </c:pt>
                <c:pt idx="1495">
                  <c:v>373.75</c:v>
                </c:pt>
                <c:pt idx="1496">
                  <c:v>374</c:v>
                </c:pt>
                <c:pt idx="1497">
                  <c:v>374.25</c:v>
                </c:pt>
                <c:pt idx="1498">
                  <c:v>374.5</c:v>
                </c:pt>
                <c:pt idx="1499">
                  <c:v>374.75</c:v>
                </c:pt>
                <c:pt idx="1500">
                  <c:v>375</c:v>
                </c:pt>
                <c:pt idx="1501">
                  <c:v>375.25</c:v>
                </c:pt>
                <c:pt idx="1502">
                  <c:v>375.5</c:v>
                </c:pt>
                <c:pt idx="1503">
                  <c:v>375.75</c:v>
                </c:pt>
                <c:pt idx="1504">
                  <c:v>376</c:v>
                </c:pt>
                <c:pt idx="1505">
                  <c:v>376.25</c:v>
                </c:pt>
                <c:pt idx="1506">
                  <c:v>376.5</c:v>
                </c:pt>
                <c:pt idx="1507">
                  <c:v>376.75</c:v>
                </c:pt>
                <c:pt idx="1508">
                  <c:v>377</c:v>
                </c:pt>
                <c:pt idx="1509">
                  <c:v>377.25</c:v>
                </c:pt>
                <c:pt idx="1510">
                  <c:v>377.5</c:v>
                </c:pt>
                <c:pt idx="1511">
                  <c:v>377.75</c:v>
                </c:pt>
                <c:pt idx="1512">
                  <c:v>378</c:v>
                </c:pt>
                <c:pt idx="1513">
                  <c:v>378.25</c:v>
                </c:pt>
                <c:pt idx="1514">
                  <c:v>378.5</c:v>
                </c:pt>
                <c:pt idx="1515">
                  <c:v>378.75</c:v>
                </c:pt>
                <c:pt idx="1516">
                  <c:v>379</c:v>
                </c:pt>
                <c:pt idx="1517">
                  <c:v>379.25</c:v>
                </c:pt>
                <c:pt idx="1518">
                  <c:v>379.5</c:v>
                </c:pt>
                <c:pt idx="1519">
                  <c:v>379.75</c:v>
                </c:pt>
                <c:pt idx="1520">
                  <c:v>380</c:v>
                </c:pt>
                <c:pt idx="1521">
                  <c:v>380.25</c:v>
                </c:pt>
                <c:pt idx="1522">
                  <c:v>380.5</c:v>
                </c:pt>
                <c:pt idx="1523">
                  <c:v>380.75</c:v>
                </c:pt>
                <c:pt idx="1524">
                  <c:v>381</c:v>
                </c:pt>
                <c:pt idx="1525">
                  <c:v>381.25</c:v>
                </c:pt>
                <c:pt idx="1526">
                  <c:v>381.5</c:v>
                </c:pt>
                <c:pt idx="1527">
                  <c:v>381.75</c:v>
                </c:pt>
                <c:pt idx="1528">
                  <c:v>382</c:v>
                </c:pt>
                <c:pt idx="1529">
                  <c:v>382.25</c:v>
                </c:pt>
                <c:pt idx="1530">
                  <c:v>382.5</c:v>
                </c:pt>
                <c:pt idx="1531">
                  <c:v>382.75</c:v>
                </c:pt>
                <c:pt idx="1532">
                  <c:v>383</c:v>
                </c:pt>
                <c:pt idx="1533">
                  <c:v>383.25</c:v>
                </c:pt>
                <c:pt idx="1534">
                  <c:v>383.5</c:v>
                </c:pt>
                <c:pt idx="1535">
                  <c:v>383.75</c:v>
                </c:pt>
                <c:pt idx="1536">
                  <c:v>384</c:v>
                </c:pt>
                <c:pt idx="1537">
                  <c:v>384.25</c:v>
                </c:pt>
                <c:pt idx="1538">
                  <c:v>384.5</c:v>
                </c:pt>
                <c:pt idx="1539">
                  <c:v>384.75</c:v>
                </c:pt>
                <c:pt idx="1540">
                  <c:v>385</c:v>
                </c:pt>
                <c:pt idx="1541">
                  <c:v>385.25</c:v>
                </c:pt>
                <c:pt idx="1542">
                  <c:v>385.5</c:v>
                </c:pt>
                <c:pt idx="1543">
                  <c:v>385.75</c:v>
                </c:pt>
                <c:pt idx="1544">
                  <c:v>386</c:v>
                </c:pt>
                <c:pt idx="1545">
                  <c:v>386.25</c:v>
                </c:pt>
                <c:pt idx="1546">
                  <c:v>386.5</c:v>
                </c:pt>
                <c:pt idx="1547">
                  <c:v>386.75</c:v>
                </c:pt>
                <c:pt idx="1548">
                  <c:v>387</c:v>
                </c:pt>
                <c:pt idx="1549">
                  <c:v>387.25</c:v>
                </c:pt>
                <c:pt idx="1550">
                  <c:v>387.5</c:v>
                </c:pt>
                <c:pt idx="1551">
                  <c:v>387.75</c:v>
                </c:pt>
                <c:pt idx="1552">
                  <c:v>388</c:v>
                </c:pt>
                <c:pt idx="1553">
                  <c:v>388.25</c:v>
                </c:pt>
                <c:pt idx="1554">
                  <c:v>388.5</c:v>
                </c:pt>
                <c:pt idx="1555">
                  <c:v>388.75</c:v>
                </c:pt>
                <c:pt idx="1556">
                  <c:v>389</c:v>
                </c:pt>
                <c:pt idx="1557">
                  <c:v>389.25</c:v>
                </c:pt>
                <c:pt idx="1558">
                  <c:v>389.5</c:v>
                </c:pt>
                <c:pt idx="1559">
                  <c:v>389.75</c:v>
                </c:pt>
                <c:pt idx="1560">
                  <c:v>390</c:v>
                </c:pt>
                <c:pt idx="1561">
                  <c:v>390.25</c:v>
                </c:pt>
                <c:pt idx="1562">
                  <c:v>390.5</c:v>
                </c:pt>
                <c:pt idx="1563">
                  <c:v>390.75</c:v>
                </c:pt>
                <c:pt idx="1564">
                  <c:v>391</c:v>
                </c:pt>
                <c:pt idx="1565">
                  <c:v>391.25</c:v>
                </c:pt>
                <c:pt idx="1566">
                  <c:v>391.5</c:v>
                </c:pt>
                <c:pt idx="1567">
                  <c:v>391.75</c:v>
                </c:pt>
                <c:pt idx="1568">
                  <c:v>392</c:v>
                </c:pt>
                <c:pt idx="1569">
                  <c:v>392.25</c:v>
                </c:pt>
                <c:pt idx="1570">
                  <c:v>392.5</c:v>
                </c:pt>
                <c:pt idx="1571">
                  <c:v>392.75</c:v>
                </c:pt>
                <c:pt idx="1572">
                  <c:v>393</c:v>
                </c:pt>
                <c:pt idx="1573">
                  <c:v>393.25</c:v>
                </c:pt>
                <c:pt idx="1574">
                  <c:v>393.5</c:v>
                </c:pt>
                <c:pt idx="1575">
                  <c:v>393.75</c:v>
                </c:pt>
                <c:pt idx="1576">
                  <c:v>394</c:v>
                </c:pt>
                <c:pt idx="1577">
                  <c:v>394.25</c:v>
                </c:pt>
                <c:pt idx="1578">
                  <c:v>394.5</c:v>
                </c:pt>
                <c:pt idx="1579">
                  <c:v>394.75</c:v>
                </c:pt>
                <c:pt idx="1580">
                  <c:v>395</c:v>
                </c:pt>
                <c:pt idx="1581">
                  <c:v>395.25</c:v>
                </c:pt>
                <c:pt idx="1582">
                  <c:v>395.5</c:v>
                </c:pt>
                <c:pt idx="1583">
                  <c:v>395.75</c:v>
                </c:pt>
                <c:pt idx="1584">
                  <c:v>396</c:v>
                </c:pt>
                <c:pt idx="1585">
                  <c:v>396.25</c:v>
                </c:pt>
                <c:pt idx="1586">
                  <c:v>396.5</c:v>
                </c:pt>
                <c:pt idx="1587">
                  <c:v>396.75</c:v>
                </c:pt>
                <c:pt idx="1588">
                  <c:v>397</c:v>
                </c:pt>
                <c:pt idx="1589">
                  <c:v>397.25</c:v>
                </c:pt>
                <c:pt idx="1590">
                  <c:v>397.5</c:v>
                </c:pt>
                <c:pt idx="1591">
                  <c:v>397.75</c:v>
                </c:pt>
                <c:pt idx="1592">
                  <c:v>398</c:v>
                </c:pt>
                <c:pt idx="1593">
                  <c:v>398.25</c:v>
                </c:pt>
                <c:pt idx="1594">
                  <c:v>398.5</c:v>
                </c:pt>
                <c:pt idx="1595">
                  <c:v>398.75</c:v>
                </c:pt>
                <c:pt idx="1596">
                  <c:v>399</c:v>
                </c:pt>
                <c:pt idx="1597">
                  <c:v>399.25</c:v>
                </c:pt>
                <c:pt idx="1598">
                  <c:v>399.5</c:v>
                </c:pt>
                <c:pt idx="1599">
                  <c:v>399.75</c:v>
                </c:pt>
                <c:pt idx="1600">
                  <c:v>400</c:v>
                </c:pt>
                <c:pt idx="1601">
                  <c:v>400.25</c:v>
                </c:pt>
                <c:pt idx="1602">
                  <c:v>400.5</c:v>
                </c:pt>
                <c:pt idx="1603">
                  <c:v>400.75</c:v>
                </c:pt>
                <c:pt idx="1604">
                  <c:v>401</c:v>
                </c:pt>
                <c:pt idx="1605">
                  <c:v>401.25</c:v>
                </c:pt>
                <c:pt idx="1606">
                  <c:v>401.5</c:v>
                </c:pt>
                <c:pt idx="1607">
                  <c:v>401.75</c:v>
                </c:pt>
                <c:pt idx="1608">
                  <c:v>402</c:v>
                </c:pt>
                <c:pt idx="1609">
                  <c:v>402.25</c:v>
                </c:pt>
                <c:pt idx="1610">
                  <c:v>402.5</c:v>
                </c:pt>
                <c:pt idx="1611">
                  <c:v>402.75</c:v>
                </c:pt>
                <c:pt idx="1612">
                  <c:v>403</c:v>
                </c:pt>
                <c:pt idx="1613">
                  <c:v>403.25</c:v>
                </c:pt>
                <c:pt idx="1614">
                  <c:v>403.5</c:v>
                </c:pt>
                <c:pt idx="1615">
                  <c:v>403.75</c:v>
                </c:pt>
                <c:pt idx="1616">
                  <c:v>404</c:v>
                </c:pt>
                <c:pt idx="1617">
                  <c:v>404.25</c:v>
                </c:pt>
                <c:pt idx="1618">
                  <c:v>404.5</c:v>
                </c:pt>
                <c:pt idx="1619">
                  <c:v>404.75</c:v>
                </c:pt>
                <c:pt idx="1620">
                  <c:v>405</c:v>
                </c:pt>
                <c:pt idx="1621">
                  <c:v>405.25</c:v>
                </c:pt>
                <c:pt idx="1622">
                  <c:v>405.5</c:v>
                </c:pt>
                <c:pt idx="1623">
                  <c:v>405.75</c:v>
                </c:pt>
                <c:pt idx="1624">
                  <c:v>406</c:v>
                </c:pt>
                <c:pt idx="1625">
                  <c:v>406.25</c:v>
                </c:pt>
                <c:pt idx="1626">
                  <c:v>406.5</c:v>
                </c:pt>
                <c:pt idx="1627">
                  <c:v>406.75</c:v>
                </c:pt>
                <c:pt idx="1628">
                  <c:v>407</c:v>
                </c:pt>
                <c:pt idx="1629">
                  <c:v>407.25</c:v>
                </c:pt>
                <c:pt idx="1630">
                  <c:v>407.5</c:v>
                </c:pt>
                <c:pt idx="1631">
                  <c:v>407.75</c:v>
                </c:pt>
                <c:pt idx="1632">
                  <c:v>408</c:v>
                </c:pt>
                <c:pt idx="1633">
                  <c:v>408.25</c:v>
                </c:pt>
                <c:pt idx="1634">
                  <c:v>408.5</c:v>
                </c:pt>
                <c:pt idx="1635">
                  <c:v>408.75</c:v>
                </c:pt>
                <c:pt idx="1636">
                  <c:v>409</c:v>
                </c:pt>
                <c:pt idx="1637">
                  <c:v>409.25</c:v>
                </c:pt>
                <c:pt idx="1638">
                  <c:v>409.5</c:v>
                </c:pt>
                <c:pt idx="1639">
                  <c:v>409.75</c:v>
                </c:pt>
                <c:pt idx="1640">
                  <c:v>410</c:v>
                </c:pt>
                <c:pt idx="1641">
                  <c:v>410.25</c:v>
                </c:pt>
                <c:pt idx="1642">
                  <c:v>410.5</c:v>
                </c:pt>
                <c:pt idx="1643">
                  <c:v>410.75</c:v>
                </c:pt>
                <c:pt idx="1644">
                  <c:v>411</c:v>
                </c:pt>
                <c:pt idx="1645">
                  <c:v>411.25</c:v>
                </c:pt>
                <c:pt idx="1646">
                  <c:v>411.5</c:v>
                </c:pt>
                <c:pt idx="1647">
                  <c:v>411.75</c:v>
                </c:pt>
                <c:pt idx="1648">
                  <c:v>412</c:v>
                </c:pt>
                <c:pt idx="1649">
                  <c:v>412.25</c:v>
                </c:pt>
                <c:pt idx="1650">
                  <c:v>412.5</c:v>
                </c:pt>
                <c:pt idx="1651">
                  <c:v>412.75</c:v>
                </c:pt>
                <c:pt idx="1652">
                  <c:v>413</c:v>
                </c:pt>
                <c:pt idx="1653">
                  <c:v>413.25</c:v>
                </c:pt>
                <c:pt idx="1654">
                  <c:v>413.5</c:v>
                </c:pt>
                <c:pt idx="1655">
                  <c:v>413.75</c:v>
                </c:pt>
                <c:pt idx="1656">
                  <c:v>414</c:v>
                </c:pt>
                <c:pt idx="1657">
                  <c:v>414.25</c:v>
                </c:pt>
                <c:pt idx="1658">
                  <c:v>414.5</c:v>
                </c:pt>
                <c:pt idx="1659">
                  <c:v>414.75</c:v>
                </c:pt>
                <c:pt idx="1660">
                  <c:v>415</c:v>
                </c:pt>
                <c:pt idx="1661">
                  <c:v>415.25</c:v>
                </c:pt>
                <c:pt idx="1662">
                  <c:v>415.5</c:v>
                </c:pt>
                <c:pt idx="1663">
                  <c:v>415.75</c:v>
                </c:pt>
                <c:pt idx="1664">
                  <c:v>416</c:v>
                </c:pt>
                <c:pt idx="1665">
                  <c:v>416.25</c:v>
                </c:pt>
                <c:pt idx="1666">
                  <c:v>416.5</c:v>
                </c:pt>
                <c:pt idx="1667">
                  <c:v>416.75</c:v>
                </c:pt>
                <c:pt idx="1668">
                  <c:v>417</c:v>
                </c:pt>
                <c:pt idx="1669">
                  <c:v>417.25</c:v>
                </c:pt>
                <c:pt idx="1670">
                  <c:v>417.5</c:v>
                </c:pt>
                <c:pt idx="1671">
                  <c:v>417.75</c:v>
                </c:pt>
                <c:pt idx="1672">
                  <c:v>418</c:v>
                </c:pt>
                <c:pt idx="1673">
                  <c:v>418.25</c:v>
                </c:pt>
                <c:pt idx="1674">
                  <c:v>418.5</c:v>
                </c:pt>
                <c:pt idx="1675">
                  <c:v>418.75</c:v>
                </c:pt>
                <c:pt idx="1676">
                  <c:v>419</c:v>
                </c:pt>
                <c:pt idx="1677">
                  <c:v>419.25</c:v>
                </c:pt>
                <c:pt idx="1678">
                  <c:v>419.5</c:v>
                </c:pt>
                <c:pt idx="1679">
                  <c:v>419.75</c:v>
                </c:pt>
                <c:pt idx="1680">
                  <c:v>420</c:v>
                </c:pt>
                <c:pt idx="1681">
                  <c:v>420.25</c:v>
                </c:pt>
                <c:pt idx="1682">
                  <c:v>420.5</c:v>
                </c:pt>
                <c:pt idx="1683">
                  <c:v>420.75</c:v>
                </c:pt>
                <c:pt idx="1684">
                  <c:v>421</c:v>
                </c:pt>
                <c:pt idx="1685">
                  <c:v>421.25</c:v>
                </c:pt>
                <c:pt idx="1686">
                  <c:v>421.5</c:v>
                </c:pt>
                <c:pt idx="1687">
                  <c:v>421.75</c:v>
                </c:pt>
                <c:pt idx="1688">
                  <c:v>422</c:v>
                </c:pt>
                <c:pt idx="1689">
                  <c:v>422.25</c:v>
                </c:pt>
                <c:pt idx="1690">
                  <c:v>422.5</c:v>
                </c:pt>
                <c:pt idx="1691">
                  <c:v>422.75</c:v>
                </c:pt>
                <c:pt idx="1692">
                  <c:v>423</c:v>
                </c:pt>
                <c:pt idx="1693">
                  <c:v>423.25</c:v>
                </c:pt>
                <c:pt idx="1694">
                  <c:v>423.5</c:v>
                </c:pt>
                <c:pt idx="1695">
                  <c:v>423.75</c:v>
                </c:pt>
                <c:pt idx="1696">
                  <c:v>424</c:v>
                </c:pt>
                <c:pt idx="1697">
                  <c:v>424.25</c:v>
                </c:pt>
                <c:pt idx="1698">
                  <c:v>424.5</c:v>
                </c:pt>
                <c:pt idx="1699">
                  <c:v>424.75</c:v>
                </c:pt>
                <c:pt idx="1700">
                  <c:v>425</c:v>
                </c:pt>
                <c:pt idx="1701">
                  <c:v>425.25</c:v>
                </c:pt>
                <c:pt idx="1702">
                  <c:v>425.5</c:v>
                </c:pt>
                <c:pt idx="1703">
                  <c:v>425.75</c:v>
                </c:pt>
                <c:pt idx="1704">
                  <c:v>426</c:v>
                </c:pt>
                <c:pt idx="1705">
                  <c:v>426.25</c:v>
                </c:pt>
                <c:pt idx="1706">
                  <c:v>426.5</c:v>
                </c:pt>
                <c:pt idx="1707">
                  <c:v>426.75</c:v>
                </c:pt>
                <c:pt idx="1708">
                  <c:v>427</c:v>
                </c:pt>
                <c:pt idx="1709">
                  <c:v>427.25</c:v>
                </c:pt>
                <c:pt idx="1710">
                  <c:v>427.5</c:v>
                </c:pt>
                <c:pt idx="1711">
                  <c:v>427.75</c:v>
                </c:pt>
                <c:pt idx="1712">
                  <c:v>428</c:v>
                </c:pt>
                <c:pt idx="1713">
                  <c:v>428.25</c:v>
                </c:pt>
                <c:pt idx="1714">
                  <c:v>428.5</c:v>
                </c:pt>
                <c:pt idx="1715">
                  <c:v>428.75</c:v>
                </c:pt>
                <c:pt idx="1716">
                  <c:v>429</c:v>
                </c:pt>
                <c:pt idx="1717">
                  <c:v>429.25</c:v>
                </c:pt>
                <c:pt idx="1718">
                  <c:v>429.5</c:v>
                </c:pt>
              </c:strCache>
            </c:strRef>
          </c:cat>
          <c:val>
            <c:numRef>
              <c:f>Production!$J$3:$J$1721</c:f>
              <c:numCache>
                <c:formatCode>General</c:formatCode>
                <c:ptCount val="17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0.1</c:v>
                </c:pt>
                <c:pt idx="279">
                  <c:v>0.2</c:v>
                </c:pt>
                <c:pt idx="280">
                  <c:v>0.4</c:v>
                </c:pt>
                <c:pt idx="281">
                  <c:v>0.5</c:v>
                </c:pt>
                <c:pt idx="282">
                  <c:v>0.6</c:v>
                </c:pt>
                <c:pt idx="283">
                  <c:v>0.8</c:v>
                </c:pt>
                <c:pt idx="284">
                  <c:v>0.9</c:v>
                </c:pt>
                <c:pt idx="285">
                  <c:v>1</c:v>
                </c:pt>
                <c:pt idx="286">
                  <c:v>1</c:v>
                </c:pt>
                <c:pt idx="287">
                  <c:v>1.1</c:v>
                </c:pt>
                <c:pt idx="288">
                  <c:v>1.1</c:v>
                </c:pt>
                <c:pt idx="289">
                  <c:v>1.1</c:v>
                </c:pt>
                <c:pt idx="290">
                  <c:v>1.1</c:v>
                </c:pt>
                <c:pt idx="291">
                  <c:v>1.1</c:v>
                </c:pt>
                <c:pt idx="292">
                  <c:v>1.1</c:v>
                </c:pt>
                <c:pt idx="293">
                  <c:v>1.1</c:v>
                </c:pt>
                <c:pt idx="294">
                  <c:v>1.2</c:v>
                </c:pt>
                <c:pt idx="295">
                  <c:v>1.2</c:v>
                </c:pt>
                <c:pt idx="296">
                  <c:v>1.2</c:v>
                </c:pt>
                <c:pt idx="297">
                  <c:v>1.2</c:v>
                </c:pt>
                <c:pt idx="298">
                  <c:v>1.2</c:v>
                </c:pt>
                <c:pt idx="299">
                  <c:v>1.2</c:v>
                </c:pt>
                <c:pt idx="300">
                  <c:v>1.2</c:v>
                </c:pt>
                <c:pt idx="301">
                  <c:v>1.2</c:v>
                </c:pt>
                <c:pt idx="302">
                  <c:v>1.3</c:v>
                </c:pt>
                <c:pt idx="303">
                  <c:v>1.3</c:v>
                </c:pt>
                <c:pt idx="304">
                  <c:v>1.3</c:v>
                </c:pt>
                <c:pt idx="305">
                  <c:v>1.3</c:v>
                </c:pt>
                <c:pt idx="306">
                  <c:v>1.3</c:v>
                </c:pt>
                <c:pt idx="307">
                  <c:v>1.3</c:v>
                </c:pt>
                <c:pt idx="308">
                  <c:v>1.3</c:v>
                </c:pt>
                <c:pt idx="309">
                  <c:v>1.3</c:v>
                </c:pt>
                <c:pt idx="310">
                  <c:v>1.4</c:v>
                </c:pt>
                <c:pt idx="311">
                  <c:v>1.4</c:v>
                </c:pt>
                <c:pt idx="312">
                  <c:v>1.4</c:v>
                </c:pt>
                <c:pt idx="313">
                  <c:v>1.4</c:v>
                </c:pt>
                <c:pt idx="314">
                  <c:v>1.4</c:v>
                </c:pt>
                <c:pt idx="315">
                  <c:v>1.4</c:v>
                </c:pt>
                <c:pt idx="316">
                  <c:v>1.4</c:v>
                </c:pt>
                <c:pt idx="317">
                  <c:v>1.4</c:v>
                </c:pt>
                <c:pt idx="318">
                  <c:v>1.5</c:v>
                </c:pt>
                <c:pt idx="319">
                  <c:v>1.5</c:v>
                </c:pt>
                <c:pt idx="320">
                  <c:v>1.5</c:v>
                </c:pt>
                <c:pt idx="321">
                  <c:v>1.5</c:v>
                </c:pt>
                <c:pt idx="322">
                  <c:v>1.5</c:v>
                </c:pt>
                <c:pt idx="323">
                  <c:v>1.5</c:v>
                </c:pt>
                <c:pt idx="324">
                  <c:v>1.5</c:v>
                </c:pt>
                <c:pt idx="325">
                  <c:v>1.5</c:v>
                </c:pt>
                <c:pt idx="326">
                  <c:v>1.6</c:v>
                </c:pt>
                <c:pt idx="327">
                  <c:v>1.6</c:v>
                </c:pt>
                <c:pt idx="328">
                  <c:v>1.6</c:v>
                </c:pt>
                <c:pt idx="329">
                  <c:v>1.6</c:v>
                </c:pt>
                <c:pt idx="330">
                  <c:v>1.6</c:v>
                </c:pt>
                <c:pt idx="331">
                  <c:v>1.6</c:v>
                </c:pt>
                <c:pt idx="332">
                  <c:v>1.6</c:v>
                </c:pt>
                <c:pt idx="333">
                  <c:v>1.6</c:v>
                </c:pt>
                <c:pt idx="334">
                  <c:v>1.7</c:v>
                </c:pt>
                <c:pt idx="335">
                  <c:v>1.7</c:v>
                </c:pt>
                <c:pt idx="336">
                  <c:v>1.7</c:v>
                </c:pt>
                <c:pt idx="337">
                  <c:v>1.7</c:v>
                </c:pt>
                <c:pt idx="338">
                  <c:v>1.7</c:v>
                </c:pt>
                <c:pt idx="339">
                  <c:v>1.7</c:v>
                </c:pt>
                <c:pt idx="340">
                  <c:v>1.7</c:v>
                </c:pt>
                <c:pt idx="341">
                  <c:v>1.7</c:v>
                </c:pt>
                <c:pt idx="342">
                  <c:v>1.8</c:v>
                </c:pt>
                <c:pt idx="343">
                  <c:v>1.8</c:v>
                </c:pt>
                <c:pt idx="344">
                  <c:v>1.8</c:v>
                </c:pt>
                <c:pt idx="345">
                  <c:v>1.8</c:v>
                </c:pt>
                <c:pt idx="346">
                  <c:v>1.8</c:v>
                </c:pt>
                <c:pt idx="347">
                  <c:v>1.8</c:v>
                </c:pt>
                <c:pt idx="348">
                  <c:v>1.8</c:v>
                </c:pt>
                <c:pt idx="349">
                  <c:v>1.8</c:v>
                </c:pt>
                <c:pt idx="350">
                  <c:v>1.9</c:v>
                </c:pt>
                <c:pt idx="351">
                  <c:v>1.9</c:v>
                </c:pt>
                <c:pt idx="352">
                  <c:v>1.9</c:v>
                </c:pt>
                <c:pt idx="353">
                  <c:v>1.9</c:v>
                </c:pt>
                <c:pt idx="354">
                  <c:v>1.9</c:v>
                </c:pt>
                <c:pt idx="355">
                  <c:v>1.9</c:v>
                </c:pt>
                <c:pt idx="356">
                  <c:v>1.9</c:v>
                </c:pt>
                <c:pt idx="357">
                  <c:v>1.9</c:v>
                </c:pt>
                <c:pt idx="358">
                  <c:v>2</c:v>
                </c:pt>
                <c:pt idx="359">
                  <c:v>2</c:v>
                </c:pt>
                <c:pt idx="360">
                  <c:v>2</c:v>
                </c:pt>
                <c:pt idx="361">
                  <c:v>2</c:v>
                </c:pt>
                <c:pt idx="362">
                  <c:v>2</c:v>
                </c:pt>
                <c:pt idx="363">
                  <c:v>2</c:v>
                </c:pt>
                <c:pt idx="364">
                  <c:v>2</c:v>
                </c:pt>
                <c:pt idx="365">
                  <c:v>2.1</c:v>
                </c:pt>
                <c:pt idx="366">
                  <c:v>2.2</c:v>
                </c:pt>
                <c:pt idx="367">
                  <c:v>2.4</c:v>
                </c:pt>
                <c:pt idx="368">
                  <c:v>2.5</c:v>
                </c:pt>
                <c:pt idx="369">
                  <c:v>2.7</c:v>
                </c:pt>
                <c:pt idx="370">
                  <c:v>2.8</c:v>
                </c:pt>
                <c:pt idx="371">
                  <c:v>3</c:v>
                </c:pt>
                <c:pt idx="372">
                  <c:v>3.1</c:v>
                </c:pt>
                <c:pt idx="373">
                  <c:v>3.3</c:v>
                </c:pt>
                <c:pt idx="374">
                  <c:v>5.1</c:v>
                </c:pt>
                <c:pt idx="375">
                  <c:v>5.3</c:v>
                </c:pt>
                <c:pt idx="376">
                  <c:v>5.6</c:v>
                </c:pt>
                <c:pt idx="377">
                  <c:v>5.9</c:v>
                </c:pt>
                <c:pt idx="378">
                  <c:v>6.1</c:v>
                </c:pt>
                <c:pt idx="379">
                  <c:v>6.4</c:v>
                </c:pt>
                <c:pt idx="380">
                  <c:v>6.7</c:v>
                </c:pt>
                <c:pt idx="381">
                  <c:v>9</c:v>
                </c:pt>
                <c:pt idx="382">
                  <c:v>9</c:v>
                </c:pt>
                <c:pt idx="383">
                  <c:v>9</c:v>
                </c:pt>
                <c:pt idx="384">
                  <c:v>9.1</c:v>
                </c:pt>
                <c:pt idx="385">
                  <c:v>9.1</c:v>
                </c:pt>
                <c:pt idx="386">
                  <c:v>9.1</c:v>
                </c:pt>
                <c:pt idx="387">
                  <c:v>9.1</c:v>
                </c:pt>
                <c:pt idx="388">
                  <c:v>9.2</c:v>
                </c:pt>
                <c:pt idx="389">
                  <c:v>9.2</c:v>
                </c:pt>
                <c:pt idx="390">
                  <c:v>9.2</c:v>
                </c:pt>
                <c:pt idx="391">
                  <c:v>9.2</c:v>
                </c:pt>
                <c:pt idx="392">
                  <c:v>9.3</c:v>
                </c:pt>
                <c:pt idx="393">
                  <c:v>9.3</c:v>
                </c:pt>
                <c:pt idx="394">
                  <c:v>9.3</c:v>
                </c:pt>
                <c:pt idx="395">
                  <c:v>9.3</c:v>
                </c:pt>
                <c:pt idx="396">
                  <c:v>9.4</c:v>
                </c:pt>
                <c:pt idx="397">
                  <c:v>9.4</c:v>
                </c:pt>
                <c:pt idx="398">
                  <c:v>9.4</c:v>
                </c:pt>
                <c:pt idx="399">
                  <c:v>9.4</c:v>
                </c:pt>
                <c:pt idx="400">
                  <c:v>9.5</c:v>
                </c:pt>
                <c:pt idx="401">
                  <c:v>9.5</c:v>
                </c:pt>
                <c:pt idx="402">
                  <c:v>9.5</c:v>
                </c:pt>
                <c:pt idx="403">
                  <c:v>9.5</c:v>
                </c:pt>
                <c:pt idx="404">
                  <c:v>9.6</c:v>
                </c:pt>
                <c:pt idx="405">
                  <c:v>9.6</c:v>
                </c:pt>
                <c:pt idx="406">
                  <c:v>9.6</c:v>
                </c:pt>
                <c:pt idx="407">
                  <c:v>9.6</c:v>
                </c:pt>
                <c:pt idx="408">
                  <c:v>9.7</c:v>
                </c:pt>
                <c:pt idx="409">
                  <c:v>9.7</c:v>
                </c:pt>
                <c:pt idx="410">
                  <c:v>9.7</c:v>
                </c:pt>
                <c:pt idx="411">
                  <c:v>9.7</c:v>
                </c:pt>
                <c:pt idx="412">
                  <c:v>9.8</c:v>
                </c:pt>
                <c:pt idx="413">
                  <c:v>9.8</c:v>
                </c:pt>
                <c:pt idx="414">
                  <c:v>9.8</c:v>
                </c:pt>
                <c:pt idx="415">
                  <c:v>9.8</c:v>
                </c:pt>
                <c:pt idx="416">
                  <c:v>9.9</c:v>
                </c:pt>
                <c:pt idx="417">
                  <c:v>9.9</c:v>
                </c:pt>
                <c:pt idx="418">
                  <c:v>9.9</c:v>
                </c:pt>
                <c:pt idx="419">
                  <c:v>9.9</c:v>
                </c:pt>
                <c:pt idx="420">
                  <c:v>10</c:v>
                </c:pt>
                <c:pt idx="421">
                  <c:v>10</c:v>
                </c:pt>
                <c:pt idx="422">
                  <c:v>10</c:v>
                </c:pt>
                <c:pt idx="423">
                  <c:v>10</c:v>
                </c:pt>
                <c:pt idx="424">
                  <c:v>10.1</c:v>
                </c:pt>
                <c:pt idx="425">
                  <c:v>10.1</c:v>
                </c:pt>
                <c:pt idx="426">
                  <c:v>10.1</c:v>
                </c:pt>
                <c:pt idx="427">
                  <c:v>10.1</c:v>
                </c:pt>
                <c:pt idx="428">
                  <c:v>10.2</c:v>
                </c:pt>
                <c:pt idx="429">
                  <c:v>10.2</c:v>
                </c:pt>
                <c:pt idx="430">
                  <c:v>10.2</c:v>
                </c:pt>
                <c:pt idx="431">
                  <c:v>10.2</c:v>
                </c:pt>
                <c:pt idx="432">
                  <c:v>10.3</c:v>
                </c:pt>
                <c:pt idx="433">
                  <c:v>10.3</c:v>
                </c:pt>
                <c:pt idx="434">
                  <c:v>10.3</c:v>
                </c:pt>
                <c:pt idx="435">
                  <c:v>10.3</c:v>
                </c:pt>
                <c:pt idx="436">
                  <c:v>10.4</c:v>
                </c:pt>
                <c:pt idx="437">
                  <c:v>10.4</c:v>
                </c:pt>
                <c:pt idx="438">
                  <c:v>10.4</c:v>
                </c:pt>
                <c:pt idx="439">
                  <c:v>10.4</c:v>
                </c:pt>
                <c:pt idx="440">
                  <c:v>10.5</c:v>
                </c:pt>
                <c:pt idx="441">
                  <c:v>10.5</c:v>
                </c:pt>
                <c:pt idx="442">
                  <c:v>10.5</c:v>
                </c:pt>
                <c:pt idx="443">
                  <c:v>10.5</c:v>
                </c:pt>
                <c:pt idx="444">
                  <c:v>10.6</c:v>
                </c:pt>
                <c:pt idx="445">
                  <c:v>10.6</c:v>
                </c:pt>
                <c:pt idx="446">
                  <c:v>10.6</c:v>
                </c:pt>
                <c:pt idx="447">
                  <c:v>10.6</c:v>
                </c:pt>
                <c:pt idx="448">
                  <c:v>10.7</c:v>
                </c:pt>
                <c:pt idx="449">
                  <c:v>10.7</c:v>
                </c:pt>
                <c:pt idx="450">
                  <c:v>10.7</c:v>
                </c:pt>
                <c:pt idx="451">
                  <c:v>10.8</c:v>
                </c:pt>
                <c:pt idx="452">
                  <c:v>10.8</c:v>
                </c:pt>
                <c:pt idx="453">
                  <c:v>10.8</c:v>
                </c:pt>
                <c:pt idx="454">
                  <c:v>10.8</c:v>
                </c:pt>
                <c:pt idx="455">
                  <c:v>10.9</c:v>
                </c:pt>
                <c:pt idx="456">
                  <c:v>10.9</c:v>
                </c:pt>
                <c:pt idx="457">
                  <c:v>10.9</c:v>
                </c:pt>
                <c:pt idx="458">
                  <c:v>10.9</c:v>
                </c:pt>
                <c:pt idx="459">
                  <c:v>11</c:v>
                </c:pt>
                <c:pt idx="460">
                  <c:v>11</c:v>
                </c:pt>
                <c:pt idx="461">
                  <c:v>11</c:v>
                </c:pt>
                <c:pt idx="462">
                  <c:v>11</c:v>
                </c:pt>
                <c:pt idx="463">
                  <c:v>11.1</c:v>
                </c:pt>
                <c:pt idx="464">
                  <c:v>11.1</c:v>
                </c:pt>
                <c:pt idx="465">
                  <c:v>11.1</c:v>
                </c:pt>
                <c:pt idx="466">
                  <c:v>11.1</c:v>
                </c:pt>
                <c:pt idx="467">
                  <c:v>11.2</c:v>
                </c:pt>
                <c:pt idx="468">
                  <c:v>11.2</c:v>
                </c:pt>
                <c:pt idx="469">
                  <c:v>11.2</c:v>
                </c:pt>
                <c:pt idx="470">
                  <c:v>11.2</c:v>
                </c:pt>
                <c:pt idx="471">
                  <c:v>11.3</c:v>
                </c:pt>
                <c:pt idx="472">
                  <c:v>11.3</c:v>
                </c:pt>
                <c:pt idx="473">
                  <c:v>11.3</c:v>
                </c:pt>
                <c:pt idx="474">
                  <c:v>11.3</c:v>
                </c:pt>
                <c:pt idx="475">
                  <c:v>11.4</c:v>
                </c:pt>
                <c:pt idx="476">
                  <c:v>11.5</c:v>
                </c:pt>
                <c:pt idx="477">
                  <c:v>12</c:v>
                </c:pt>
                <c:pt idx="478">
                  <c:v>12.5</c:v>
                </c:pt>
                <c:pt idx="479">
                  <c:v>13</c:v>
                </c:pt>
                <c:pt idx="480">
                  <c:v>13.4</c:v>
                </c:pt>
                <c:pt idx="481">
                  <c:v>13.9</c:v>
                </c:pt>
                <c:pt idx="482">
                  <c:v>14.4</c:v>
                </c:pt>
                <c:pt idx="483">
                  <c:v>14.8</c:v>
                </c:pt>
                <c:pt idx="484">
                  <c:v>15.3</c:v>
                </c:pt>
                <c:pt idx="485">
                  <c:v>15.7</c:v>
                </c:pt>
                <c:pt idx="486">
                  <c:v>16.2</c:v>
                </c:pt>
                <c:pt idx="487">
                  <c:v>16.7</c:v>
                </c:pt>
                <c:pt idx="488">
                  <c:v>16.9</c:v>
                </c:pt>
                <c:pt idx="489">
                  <c:v>16.9</c:v>
                </c:pt>
                <c:pt idx="490">
                  <c:v>16.9</c:v>
                </c:pt>
                <c:pt idx="491">
                  <c:v>17</c:v>
                </c:pt>
                <c:pt idx="492">
                  <c:v>17</c:v>
                </c:pt>
                <c:pt idx="493">
                  <c:v>17.1</c:v>
                </c:pt>
                <c:pt idx="494">
                  <c:v>17.1</c:v>
                </c:pt>
                <c:pt idx="495">
                  <c:v>17.1</c:v>
                </c:pt>
                <c:pt idx="496">
                  <c:v>17.2</c:v>
                </c:pt>
                <c:pt idx="497">
                  <c:v>17.2</c:v>
                </c:pt>
                <c:pt idx="498">
                  <c:v>17.3</c:v>
                </c:pt>
                <c:pt idx="499">
                  <c:v>17.3</c:v>
                </c:pt>
                <c:pt idx="500">
                  <c:v>17.3</c:v>
                </c:pt>
                <c:pt idx="501">
                  <c:v>17.4</c:v>
                </c:pt>
                <c:pt idx="502">
                  <c:v>17.4</c:v>
                </c:pt>
                <c:pt idx="503">
                  <c:v>17.5</c:v>
                </c:pt>
                <c:pt idx="504">
                  <c:v>17.5</c:v>
                </c:pt>
                <c:pt idx="505">
                  <c:v>17.5</c:v>
                </c:pt>
                <c:pt idx="506">
                  <c:v>17.6</c:v>
                </c:pt>
                <c:pt idx="507">
                  <c:v>17.6</c:v>
                </c:pt>
                <c:pt idx="508">
                  <c:v>17.7</c:v>
                </c:pt>
                <c:pt idx="509">
                  <c:v>17.7</c:v>
                </c:pt>
                <c:pt idx="510">
                  <c:v>17.7</c:v>
                </c:pt>
                <c:pt idx="511">
                  <c:v>17.8</c:v>
                </c:pt>
                <c:pt idx="512">
                  <c:v>17.8</c:v>
                </c:pt>
                <c:pt idx="513">
                  <c:v>17.8</c:v>
                </c:pt>
                <c:pt idx="514">
                  <c:v>17.9</c:v>
                </c:pt>
                <c:pt idx="515">
                  <c:v>17.9</c:v>
                </c:pt>
                <c:pt idx="516">
                  <c:v>18</c:v>
                </c:pt>
                <c:pt idx="517">
                  <c:v>18</c:v>
                </c:pt>
                <c:pt idx="518">
                  <c:v>18</c:v>
                </c:pt>
                <c:pt idx="519">
                  <c:v>18.1</c:v>
                </c:pt>
                <c:pt idx="520">
                  <c:v>18.1</c:v>
                </c:pt>
                <c:pt idx="521">
                  <c:v>18.2</c:v>
                </c:pt>
                <c:pt idx="522">
                  <c:v>18.2</c:v>
                </c:pt>
                <c:pt idx="523">
                  <c:v>18.2</c:v>
                </c:pt>
                <c:pt idx="524">
                  <c:v>18.3</c:v>
                </c:pt>
                <c:pt idx="525">
                  <c:v>18.3</c:v>
                </c:pt>
                <c:pt idx="526">
                  <c:v>18.4</c:v>
                </c:pt>
                <c:pt idx="527">
                  <c:v>18.4</c:v>
                </c:pt>
                <c:pt idx="528">
                  <c:v>18.4</c:v>
                </c:pt>
                <c:pt idx="529">
                  <c:v>18.5</c:v>
                </c:pt>
                <c:pt idx="530">
                  <c:v>18.5</c:v>
                </c:pt>
                <c:pt idx="531">
                  <c:v>18.6</c:v>
                </c:pt>
                <c:pt idx="532">
                  <c:v>18.6</c:v>
                </c:pt>
                <c:pt idx="533">
                  <c:v>18.6</c:v>
                </c:pt>
                <c:pt idx="534">
                  <c:v>18.7</c:v>
                </c:pt>
                <c:pt idx="535">
                  <c:v>18.7</c:v>
                </c:pt>
                <c:pt idx="536">
                  <c:v>18.8</c:v>
                </c:pt>
                <c:pt idx="537">
                  <c:v>18.8</c:v>
                </c:pt>
                <c:pt idx="538">
                  <c:v>18.8</c:v>
                </c:pt>
                <c:pt idx="539">
                  <c:v>18.9</c:v>
                </c:pt>
                <c:pt idx="540">
                  <c:v>18.9</c:v>
                </c:pt>
                <c:pt idx="541">
                  <c:v>18.9</c:v>
                </c:pt>
                <c:pt idx="542">
                  <c:v>19</c:v>
                </c:pt>
                <c:pt idx="543">
                  <c:v>19</c:v>
                </c:pt>
                <c:pt idx="544">
                  <c:v>19.1</c:v>
                </c:pt>
                <c:pt idx="545">
                  <c:v>19.1</c:v>
                </c:pt>
                <c:pt idx="546">
                  <c:v>19.1</c:v>
                </c:pt>
                <c:pt idx="547">
                  <c:v>19.2</c:v>
                </c:pt>
                <c:pt idx="548">
                  <c:v>19.2</c:v>
                </c:pt>
                <c:pt idx="549">
                  <c:v>19.3</c:v>
                </c:pt>
                <c:pt idx="550">
                  <c:v>19.3</c:v>
                </c:pt>
                <c:pt idx="551">
                  <c:v>19.3</c:v>
                </c:pt>
                <c:pt idx="552">
                  <c:v>19.4</c:v>
                </c:pt>
                <c:pt idx="553">
                  <c:v>19.4</c:v>
                </c:pt>
                <c:pt idx="554">
                  <c:v>19.5</c:v>
                </c:pt>
                <c:pt idx="555">
                  <c:v>19.5</c:v>
                </c:pt>
                <c:pt idx="556">
                  <c:v>19.5</c:v>
                </c:pt>
                <c:pt idx="557">
                  <c:v>19.6</c:v>
                </c:pt>
                <c:pt idx="558">
                  <c:v>19.6</c:v>
                </c:pt>
                <c:pt idx="559">
                  <c:v>19.7</c:v>
                </c:pt>
                <c:pt idx="560">
                  <c:v>19.7</c:v>
                </c:pt>
                <c:pt idx="561">
                  <c:v>19.7</c:v>
                </c:pt>
                <c:pt idx="562">
                  <c:v>19.8</c:v>
                </c:pt>
                <c:pt idx="563">
                  <c:v>19.8</c:v>
                </c:pt>
                <c:pt idx="564">
                  <c:v>19.8</c:v>
                </c:pt>
                <c:pt idx="565">
                  <c:v>19.9</c:v>
                </c:pt>
                <c:pt idx="566">
                  <c:v>23.4</c:v>
                </c:pt>
                <c:pt idx="567">
                  <c:v>24.1</c:v>
                </c:pt>
                <c:pt idx="568">
                  <c:v>24.7</c:v>
                </c:pt>
                <c:pt idx="569">
                  <c:v>25.3</c:v>
                </c:pt>
                <c:pt idx="570">
                  <c:v>26</c:v>
                </c:pt>
                <c:pt idx="571">
                  <c:v>26.6</c:v>
                </c:pt>
                <c:pt idx="572">
                  <c:v>27.2</c:v>
                </c:pt>
                <c:pt idx="573">
                  <c:v>27.9</c:v>
                </c:pt>
                <c:pt idx="574">
                  <c:v>28.5</c:v>
                </c:pt>
                <c:pt idx="575">
                  <c:v>29.2</c:v>
                </c:pt>
                <c:pt idx="576">
                  <c:v>29.8</c:v>
                </c:pt>
                <c:pt idx="577">
                  <c:v>30.5</c:v>
                </c:pt>
                <c:pt idx="578">
                  <c:v>31.3</c:v>
                </c:pt>
                <c:pt idx="579">
                  <c:v>32.1</c:v>
                </c:pt>
                <c:pt idx="580">
                  <c:v>32.8</c:v>
                </c:pt>
                <c:pt idx="581">
                  <c:v>33.6</c:v>
                </c:pt>
                <c:pt idx="582">
                  <c:v>34.2</c:v>
                </c:pt>
                <c:pt idx="583">
                  <c:v>34.3</c:v>
                </c:pt>
                <c:pt idx="584">
                  <c:v>34.3</c:v>
                </c:pt>
                <c:pt idx="585">
                  <c:v>34.4</c:v>
                </c:pt>
                <c:pt idx="586">
                  <c:v>34.4</c:v>
                </c:pt>
                <c:pt idx="587">
                  <c:v>34.5</c:v>
                </c:pt>
                <c:pt idx="588">
                  <c:v>34.5</c:v>
                </c:pt>
                <c:pt idx="589">
                  <c:v>34.6</c:v>
                </c:pt>
                <c:pt idx="590">
                  <c:v>34.6</c:v>
                </c:pt>
                <c:pt idx="591">
                  <c:v>34.7</c:v>
                </c:pt>
                <c:pt idx="592">
                  <c:v>34.7</c:v>
                </c:pt>
                <c:pt idx="593">
                  <c:v>34.8</c:v>
                </c:pt>
                <c:pt idx="594">
                  <c:v>34.8</c:v>
                </c:pt>
                <c:pt idx="595">
                  <c:v>34.9</c:v>
                </c:pt>
                <c:pt idx="596">
                  <c:v>34.9</c:v>
                </c:pt>
                <c:pt idx="597">
                  <c:v>35</c:v>
                </c:pt>
                <c:pt idx="598">
                  <c:v>35</c:v>
                </c:pt>
                <c:pt idx="599">
                  <c:v>35.1</c:v>
                </c:pt>
                <c:pt idx="600">
                  <c:v>35.1</c:v>
                </c:pt>
                <c:pt idx="601">
                  <c:v>35.2</c:v>
                </c:pt>
                <c:pt idx="602">
                  <c:v>35.2</c:v>
                </c:pt>
                <c:pt idx="603">
                  <c:v>35.3</c:v>
                </c:pt>
                <c:pt idx="604">
                  <c:v>35.3</c:v>
                </c:pt>
                <c:pt idx="605">
                  <c:v>35.4</c:v>
                </c:pt>
                <c:pt idx="606">
                  <c:v>35.5</c:v>
                </c:pt>
                <c:pt idx="607">
                  <c:v>35.5</c:v>
                </c:pt>
                <c:pt idx="608">
                  <c:v>35.6</c:v>
                </c:pt>
                <c:pt idx="609">
                  <c:v>35.6</c:v>
                </c:pt>
                <c:pt idx="610">
                  <c:v>35.7</c:v>
                </c:pt>
                <c:pt idx="611">
                  <c:v>35.7</c:v>
                </c:pt>
                <c:pt idx="612">
                  <c:v>35.8</c:v>
                </c:pt>
                <c:pt idx="613">
                  <c:v>35.8</c:v>
                </c:pt>
                <c:pt idx="614">
                  <c:v>35.9</c:v>
                </c:pt>
                <c:pt idx="615">
                  <c:v>35.9</c:v>
                </c:pt>
                <c:pt idx="616">
                  <c:v>36</c:v>
                </c:pt>
                <c:pt idx="617">
                  <c:v>36</c:v>
                </c:pt>
                <c:pt idx="618">
                  <c:v>36.1</c:v>
                </c:pt>
                <c:pt idx="619">
                  <c:v>36.1</c:v>
                </c:pt>
                <c:pt idx="620">
                  <c:v>36.2</c:v>
                </c:pt>
                <c:pt idx="621">
                  <c:v>36.2</c:v>
                </c:pt>
                <c:pt idx="622">
                  <c:v>36.3</c:v>
                </c:pt>
                <c:pt idx="623">
                  <c:v>36.3</c:v>
                </c:pt>
                <c:pt idx="624">
                  <c:v>36.4</c:v>
                </c:pt>
                <c:pt idx="625">
                  <c:v>36.4</c:v>
                </c:pt>
                <c:pt idx="626">
                  <c:v>36.5</c:v>
                </c:pt>
                <c:pt idx="627">
                  <c:v>36.5</c:v>
                </c:pt>
                <c:pt idx="628">
                  <c:v>36.6</c:v>
                </c:pt>
                <c:pt idx="629">
                  <c:v>36.6</c:v>
                </c:pt>
                <c:pt idx="630">
                  <c:v>36.7</c:v>
                </c:pt>
                <c:pt idx="631">
                  <c:v>36.7</c:v>
                </c:pt>
                <c:pt idx="632">
                  <c:v>36.8</c:v>
                </c:pt>
                <c:pt idx="633">
                  <c:v>36.8</c:v>
                </c:pt>
                <c:pt idx="634">
                  <c:v>36.9</c:v>
                </c:pt>
                <c:pt idx="635">
                  <c:v>36.9</c:v>
                </c:pt>
                <c:pt idx="636">
                  <c:v>37</c:v>
                </c:pt>
                <c:pt idx="637">
                  <c:v>37</c:v>
                </c:pt>
                <c:pt idx="638">
                  <c:v>37.1</c:v>
                </c:pt>
                <c:pt idx="639">
                  <c:v>37.2</c:v>
                </c:pt>
                <c:pt idx="640">
                  <c:v>37.2</c:v>
                </c:pt>
                <c:pt idx="641">
                  <c:v>37.3</c:v>
                </c:pt>
                <c:pt idx="642">
                  <c:v>37.3</c:v>
                </c:pt>
                <c:pt idx="643">
                  <c:v>37.4</c:v>
                </c:pt>
                <c:pt idx="644">
                  <c:v>37.4</c:v>
                </c:pt>
                <c:pt idx="645">
                  <c:v>37.5</c:v>
                </c:pt>
                <c:pt idx="646">
                  <c:v>37.5</c:v>
                </c:pt>
                <c:pt idx="647">
                  <c:v>37.6</c:v>
                </c:pt>
                <c:pt idx="648">
                  <c:v>37.6</c:v>
                </c:pt>
                <c:pt idx="649">
                  <c:v>37.7</c:v>
                </c:pt>
                <c:pt idx="650">
                  <c:v>37.7</c:v>
                </c:pt>
                <c:pt idx="651">
                  <c:v>37.8</c:v>
                </c:pt>
                <c:pt idx="652">
                  <c:v>37.8</c:v>
                </c:pt>
                <c:pt idx="653">
                  <c:v>37.9</c:v>
                </c:pt>
                <c:pt idx="654">
                  <c:v>37.9</c:v>
                </c:pt>
                <c:pt idx="655">
                  <c:v>38</c:v>
                </c:pt>
                <c:pt idx="656">
                  <c:v>38</c:v>
                </c:pt>
                <c:pt idx="657">
                  <c:v>38.1</c:v>
                </c:pt>
                <c:pt idx="658">
                  <c:v>38.1</c:v>
                </c:pt>
                <c:pt idx="659">
                  <c:v>38.2</c:v>
                </c:pt>
                <c:pt idx="660">
                  <c:v>38.9</c:v>
                </c:pt>
                <c:pt idx="661">
                  <c:v>41.1</c:v>
                </c:pt>
                <c:pt idx="662">
                  <c:v>47.2</c:v>
                </c:pt>
                <c:pt idx="663">
                  <c:v>48.3</c:v>
                </c:pt>
                <c:pt idx="664">
                  <c:v>49.5</c:v>
                </c:pt>
                <c:pt idx="665">
                  <c:v>50.7</c:v>
                </c:pt>
                <c:pt idx="666">
                  <c:v>51.6</c:v>
                </c:pt>
                <c:pt idx="667">
                  <c:v>52.3</c:v>
                </c:pt>
                <c:pt idx="668">
                  <c:v>53</c:v>
                </c:pt>
                <c:pt idx="669">
                  <c:v>53.7</c:v>
                </c:pt>
                <c:pt idx="670">
                  <c:v>54.4</c:v>
                </c:pt>
                <c:pt idx="671">
                  <c:v>55.1</c:v>
                </c:pt>
                <c:pt idx="672">
                  <c:v>55.8</c:v>
                </c:pt>
                <c:pt idx="673">
                  <c:v>56</c:v>
                </c:pt>
                <c:pt idx="674">
                  <c:v>56.1</c:v>
                </c:pt>
                <c:pt idx="675">
                  <c:v>56.1</c:v>
                </c:pt>
                <c:pt idx="676">
                  <c:v>56.2</c:v>
                </c:pt>
                <c:pt idx="677">
                  <c:v>56.3</c:v>
                </c:pt>
                <c:pt idx="678">
                  <c:v>56.4</c:v>
                </c:pt>
                <c:pt idx="679">
                  <c:v>56.5</c:v>
                </c:pt>
                <c:pt idx="680">
                  <c:v>56.6</c:v>
                </c:pt>
                <c:pt idx="681">
                  <c:v>56.6</c:v>
                </c:pt>
                <c:pt idx="682">
                  <c:v>56.7</c:v>
                </c:pt>
                <c:pt idx="683">
                  <c:v>56.8</c:v>
                </c:pt>
                <c:pt idx="684">
                  <c:v>56.9</c:v>
                </c:pt>
                <c:pt idx="685">
                  <c:v>57</c:v>
                </c:pt>
                <c:pt idx="686">
                  <c:v>57</c:v>
                </c:pt>
                <c:pt idx="687">
                  <c:v>57.1</c:v>
                </c:pt>
                <c:pt idx="688">
                  <c:v>57.2</c:v>
                </c:pt>
                <c:pt idx="689">
                  <c:v>57.3</c:v>
                </c:pt>
                <c:pt idx="690">
                  <c:v>57.4</c:v>
                </c:pt>
                <c:pt idx="691">
                  <c:v>57.5</c:v>
                </c:pt>
                <c:pt idx="692">
                  <c:v>57.5</c:v>
                </c:pt>
                <c:pt idx="693">
                  <c:v>57.6</c:v>
                </c:pt>
                <c:pt idx="694">
                  <c:v>57.7</c:v>
                </c:pt>
                <c:pt idx="695">
                  <c:v>57.8</c:v>
                </c:pt>
                <c:pt idx="696">
                  <c:v>57.9</c:v>
                </c:pt>
                <c:pt idx="697">
                  <c:v>58</c:v>
                </c:pt>
                <c:pt idx="698">
                  <c:v>58</c:v>
                </c:pt>
                <c:pt idx="699">
                  <c:v>58.1</c:v>
                </c:pt>
                <c:pt idx="700">
                  <c:v>58.2</c:v>
                </c:pt>
                <c:pt idx="701">
                  <c:v>58.3</c:v>
                </c:pt>
                <c:pt idx="702">
                  <c:v>58.4</c:v>
                </c:pt>
                <c:pt idx="703">
                  <c:v>58.4</c:v>
                </c:pt>
                <c:pt idx="704">
                  <c:v>58.5</c:v>
                </c:pt>
                <c:pt idx="705">
                  <c:v>58.6</c:v>
                </c:pt>
                <c:pt idx="706">
                  <c:v>58.7</c:v>
                </c:pt>
                <c:pt idx="707">
                  <c:v>58.8</c:v>
                </c:pt>
                <c:pt idx="708">
                  <c:v>58.9</c:v>
                </c:pt>
                <c:pt idx="709">
                  <c:v>58.9</c:v>
                </c:pt>
                <c:pt idx="710">
                  <c:v>59</c:v>
                </c:pt>
                <c:pt idx="711">
                  <c:v>59.1</c:v>
                </c:pt>
                <c:pt idx="712">
                  <c:v>59.2</c:v>
                </c:pt>
                <c:pt idx="713">
                  <c:v>59.3</c:v>
                </c:pt>
                <c:pt idx="714">
                  <c:v>59.4</c:v>
                </c:pt>
                <c:pt idx="715">
                  <c:v>59.4</c:v>
                </c:pt>
                <c:pt idx="716">
                  <c:v>59.5</c:v>
                </c:pt>
                <c:pt idx="717">
                  <c:v>59.6</c:v>
                </c:pt>
                <c:pt idx="718">
                  <c:v>59.7</c:v>
                </c:pt>
                <c:pt idx="719">
                  <c:v>59.8</c:v>
                </c:pt>
                <c:pt idx="720">
                  <c:v>59.9</c:v>
                </c:pt>
                <c:pt idx="721">
                  <c:v>59.9</c:v>
                </c:pt>
                <c:pt idx="722">
                  <c:v>60</c:v>
                </c:pt>
                <c:pt idx="723">
                  <c:v>60.1</c:v>
                </c:pt>
                <c:pt idx="724">
                  <c:v>60.2</c:v>
                </c:pt>
                <c:pt idx="725">
                  <c:v>60.3</c:v>
                </c:pt>
                <c:pt idx="726">
                  <c:v>60.3</c:v>
                </c:pt>
                <c:pt idx="727">
                  <c:v>60.4</c:v>
                </c:pt>
                <c:pt idx="728">
                  <c:v>60.5</c:v>
                </c:pt>
                <c:pt idx="729">
                  <c:v>60.6</c:v>
                </c:pt>
                <c:pt idx="730">
                  <c:v>60.7</c:v>
                </c:pt>
                <c:pt idx="731">
                  <c:v>60.9</c:v>
                </c:pt>
                <c:pt idx="732">
                  <c:v>61</c:v>
                </c:pt>
                <c:pt idx="733">
                  <c:v>61.2</c:v>
                </c:pt>
                <c:pt idx="734">
                  <c:v>61.4</c:v>
                </c:pt>
                <c:pt idx="735">
                  <c:v>61.6</c:v>
                </c:pt>
                <c:pt idx="736">
                  <c:v>61.7</c:v>
                </c:pt>
                <c:pt idx="737">
                  <c:v>61.9</c:v>
                </c:pt>
                <c:pt idx="738">
                  <c:v>62.1</c:v>
                </c:pt>
                <c:pt idx="739">
                  <c:v>62.3</c:v>
                </c:pt>
                <c:pt idx="740">
                  <c:v>62.4</c:v>
                </c:pt>
                <c:pt idx="741">
                  <c:v>62.6</c:v>
                </c:pt>
                <c:pt idx="742">
                  <c:v>62.8</c:v>
                </c:pt>
                <c:pt idx="743">
                  <c:v>63</c:v>
                </c:pt>
                <c:pt idx="744">
                  <c:v>63.2</c:v>
                </c:pt>
                <c:pt idx="745">
                  <c:v>63.3</c:v>
                </c:pt>
                <c:pt idx="746">
                  <c:v>63.5</c:v>
                </c:pt>
                <c:pt idx="747">
                  <c:v>63.7</c:v>
                </c:pt>
                <c:pt idx="748">
                  <c:v>63.9</c:v>
                </c:pt>
                <c:pt idx="749">
                  <c:v>64</c:v>
                </c:pt>
                <c:pt idx="750">
                  <c:v>64.2</c:v>
                </c:pt>
                <c:pt idx="751">
                  <c:v>64.4</c:v>
                </c:pt>
                <c:pt idx="752">
                  <c:v>64.6</c:v>
                </c:pt>
                <c:pt idx="753">
                  <c:v>64.7</c:v>
                </c:pt>
                <c:pt idx="754">
                  <c:v>64.9</c:v>
                </c:pt>
                <c:pt idx="755">
                  <c:v>65.1</c:v>
                </c:pt>
                <c:pt idx="756">
                  <c:v>65.3</c:v>
                </c:pt>
                <c:pt idx="757">
                  <c:v>65.4</c:v>
                </c:pt>
                <c:pt idx="758">
                  <c:v>71.1</c:v>
                </c:pt>
                <c:pt idx="759">
                  <c:v>72.6</c:v>
                </c:pt>
                <c:pt idx="760">
                  <c:v>74.1</c:v>
                </c:pt>
                <c:pt idx="761">
                  <c:v>75.7</c:v>
                </c:pt>
                <c:pt idx="762">
                  <c:v>107.8</c:v>
                </c:pt>
                <c:pt idx="763">
                  <c:v>111.8</c:v>
                </c:pt>
                <c:pt idx="764">
                  <c:v>116.8</c:v>
                </c:pt>
                <c:pt idx="765">
                  <c:v>118.8</c:v>
                </c:pt>
                <c:pt idx="766">
                  <c:v>120.7</c:v>
                </c:pt>
                <c:pt idx="767">
                  <c:v>122.7</c:v>
                </c:pt>
                <c:pt idx="768">
                  <c:v>124.6</c:v>
                </c:pt>
                <c:pt idx="769">
                  <c:v>126.6</c:v>
                </c:pt>
                <c:pt idx="770">
                  <c:v>128.5</c:v>
                </c:pt>
                <c:pt idx="771">
                  <c:v>128.6</c:v>
                </c:pt>
                <c:pt idx="772">
                  <c:v>128.6</c:v>
                </c:pt>
                <c:pt idx="773">
                  <c:v>128.7</c:v>
                </c:pt>
                <c:pt idx="774">
                  <c:v>128.8</c:v>
                </c:pt>
                <c:pt idx="775">
                  <c:v>128.9</c:v>
                </c:pt>
                <c:pt idx="776">
                  <c:v>128.9</c:v>
                </c:pt>
                <c:pt idx="777">
                  <c:v>129</c:v>
                </c:pt>
                <c:pt idx="778">
                  <c:v>129.1</c:v>
                </c:pt>
                <c:pt idx="779">
                  <c:v>129.1</c:v>
                </c:pt>
                <c:pt idx="780">
                  <c:v>129.2</c:v>
                </c:pt>
                <c:pt idx="781">
                  <c:v>129.3</c:v>
                </c:pt>
                <c:pt idx="782">
                  <c:v>129.3</c:v>
                </c:pt>
                <c:pt idx="783">
                  <c:v>129.4</c:v>
                </c:pt>
                <c:pt idx="784">
                  <c:v>129.5</c:v>
                </c:pt>
                <c:pt idx="785">
                  <c:v>129.6</c:v>
                </c:pt>
                <c:pt idx="786">
                  <c:v>129.6</c:v>
                </c:pt>
                <c:pt idx="787">
                  <c:v>129.7</c:v>
                </c:pt>
                <c:pt idx="788">
                  <c:v>129.8</c:v>
                </c:pt>
                <c:pt idx="789">
                  <c:v>129.8</c:v>
                </c:pt>
                <c:pt idx="790">
                  <c:v>129.9</c:v>
                </c:pt>
                <c:pt idx="791">
                  <c:v>130</c:v>
                </c:pt>
                <c:pt idx="792">
                  <c:v>130.1</c:v>
                </c:pt>
                <c:pt idx="793">
                  <c:v>130.1</c:v>
                </c:pt>
                <c:pt idx="794">
                  <c:v>130.2</c:v>
                </c:pt>
                <c:pt idx="795">
                  <c:v>130.3</c:v>
                </c:pt>
                <c:pt idx="796">
                  <c:v>130.3</c:v>
                </c:pt>
                <c:pt idx="797">
                  <c:v>130.4</c:v>
                </c:pt>
                <c:pt idx="798">
                  <c:v>130.5</c:v>
                </c:pt>
                <c:pt idx="799">
                  <c:v>130.6</c:v>
                </c:pt>
                <c:pt idx="800">
                  <c:v>130.6</c:v>
                </c:pt>
                <c:pt idx="801">
                  <c:v>130.7</c:v>
                </c:pt>
                <c:pt idx="802">
                  <c:v>130.8</c:v>
                </c:pt>
                <c:pt idx="803">
                  <c:v>130.8</c:v>
                </c:pt>
                <c:pt idx="804">
                  <c:v>130.9</c:v>
                </c:pt>
                <c:pt idx="805">
                  <c:v>131</c:v>
                </c:pt>
                <c:pt idx="806">
                  <c:v>131</c:v>
                </c:pt>
                <c:pt idx="807">
                  <c:v>131.1</c:v>
                </c:pt>
                <c:pt idx="808">
                  <c:v>131.2</c:v>
                </c:pt>
                <c:pt idx="809">
                  <c:v>131.3</c:v>
                </c:pt>
                <c:pt idx="810">
                  <c:v>131.3</c:v>
                </c:pt>
                <c:pt idx="811">
                  <c:v>131.4</c:v>
                </c:pt>
                <c:pt idx="812">
                  <c:v>131.5</c:v>
                </c:pt>
                <c:pt idx="813">
                  <c:v>131.5</c:v>
                </c:pt>
                <c:pt idx="814">
                  <c:v>131.6</c:v>
                </c:pt>
                <c:pt idx="815">
                  <c:v>131.7</c:v>
                </c:pt>
                <c:pt idx="816">
                  <c:v>131.8</c:v>
                </c:pt>
                <c:pt idx="817">
                  <c:v>131.8</c:v>
                </c:pt>
                <c:pt idx="818">
                  <c:v>131.9</c:v>
                </c:pt>
                <c:pt idx="819">
                  <c:v>132</c:v>
                </c:pt>
                <c:pt idx="820">
                  <c:v>132</c:v>
                </c:pt>
                <c:pt idx="821">
                  <c:v>132.1</c:v>
                </c:pt>
                <c:pt idx="822">
                  <c:v>132.2</c:v>
                </c:pt>
                <c:pt idx="823">
                  <c:v>132.3</c:v>
                </c:pt>
                <c:pt idx="824">
                  <c:v>132.3</c:v>
                </c:pt>
                <c:pt idx="825">
                  <c:v>132.4</c:v>
                </c:pt>
                <c:pt idx="826">
                  <c:v>132.5</c:v>
                </c:pt>
                <c:pt idx="827">
                  <c:v>132.5</c:v>
                </c:pt>
                <c:pt idx="828">
                  <c:v>132.6</c:v>
                </c:pt>
                <c:pt idx="829">
                  <c:v>132.7</c:v>
                </c:pt>
                <c:pt idx="830">
                  <c:v>132.7</c:v>
                </c:pt>
                <c:pt idx="831">
                  <c:v>132.8</c:v>
                </c:pt>
                <c:pt idx="832">
                  <c:v>132.9</c:v>
                </c:pt>
                <c:pt idx="833">
                  <c:v>133</c:v>
                </c:pt>
                <c:pt idx="834">
                  <c:v>133</c:v>
                </c:pt>
                <c:pt idx="835">
                  <c:v>133.1</c:v>
                </c:pt>
                <c:pt idx="836">
                  <c:v>133.2</c:v>
                </c:pt>
                <c:pt idx="837">
                  <c:v>133.2</c:v>
                </c:pt>
                <c:pt idx="838">
                  <c:v>133.3</c:v>
                </c:pt>
                <c:pt idx="839">
                  <c:v>133.4</c:v>
                </c:pt>
                <c:pt idx="840">
                  <c:v>133.5</c:v>
                </c:pt>
                <c:pt idx="841">
                  <c:v>133.5</c:v>
                </c:pt>
                <c:pt idx="842">
                  <c:v>133.6</c:v>
                </c:pt>
                <c:pt idx="843">
                  <c:v>133.7</c:v>
                </c:pt>
                <c:pt idx="844">
                  <c:v>133.7</c:v>
                </c:pt>
                <c:pt idx="845">
                  <c:v>133.8</c:v>
                </c:pt>
                <c:pt idx="846">
                  <c:v>133.9</c:v>
                </c:pt>
                <c:pt idx="847">
                  <c:v>133.9</c:v>
                </c:pt>
                <c:pt idx="848">
                  <c:v>134</c:v>
                </c:pt>
                <c:pt idx="849">
                  <c:v>134.1</c:v>
                </c:pt>
                <c:pt idx="850">
                  <c:v>134.2</c:v>
                </c:pt>
                <c:pt idx="851">
                  <c:v>134.2</c:v>
                </c:pt>
                <c:pt idx="852">
                  <c:v>134.3</c:v>
                </c:pt>
                <c:pt idx="853">
                  <c:v>134.4</c:v>
                </c:pt>
                <c:pt idx="854">
                  <c:v>134.4</c:v>
                </c:pt>
                <c:pt idx="855">
                  <c:v>134.5</c:v>
                </c:pt>
                <c:pt idx="856">
                  <c:v>136.7</c:v>
                </c:pt>
                <c:pt idx="857">
                  <c:v>139</c:v>
                </c:pt>
                <c:pt idx="858">
                  <c:v>141</c:v>
                </c:pt>
                <c:pt idx="859">
                  <c:v>142.3</c:v>
                </c:pt>
                <c:pt idx="860">
                  <c:v>143.7</c:v>
                </c:pt>
                <c:pt idx="861">
                  <c:v>145.1</c:v>
                </c:pt>
                <c:pt idx="862">
                  <c:v>146.5</c:v>
                </c:pt>
                <c:pt idx="863">
                  <c:v>147.8</c:v>
                </c:pt>
                <c:pt idx="864">
                  <c:v>149.1</c:v>
                </c:pt>
                <c:pt idx="865">
                  <c:v>150.4</c:v>
                </c:pt>
                <c:pt idx="866">
                  <c:v>151.7</c:v>
                </c:pt>
                <c:pt idx="867">
                  <c:v>153</c:v>
                </c:pt>
                <c:pt idx="868">
                  <c:v>153.8</c:v>
                </c:pt>
                <c:pt idx="869">
                  <c:v>154.7</c:v>
                </c:pt>
                <c:pt idx="870">
                  <c:v>155.6</c:v>
                </c:pt>
                <c:pt idx="871">
                  <c:v>156.5</c:v>
                </c:pt>
                <c:pt idx="872">
                  <c:v>157.3</c:v>
                </c:pt>
                <c:pt idx="873">
                  <c:v>158.2</c:v>
                </c:pt>
                <c:pt idx="874">
                  <c:v>159.1</c:v>
                </c:pt>
                <c:pt idx="875">
                  <c:v>159.8</c:v>
                </c:pt>
                <c:pt idx="876">
                  <c:v>160.5</c:v>
                </c:pt>
                <c:pt idx="877">
                  <c:v>161.1</c:v>
                </c:pt>
                <c:pt idx="878">
                  <c:v>161.8</c:v>
                </c:pt>
                <c:pt idx="879">
                  <c:v>162.5</c:v>
                </c:pt>
                <c:pt idx="880">
                  <c:v>163.1</c:v>
                </c:pt>
                <c:pt idx="881">
                  <c:v>163.8</c:v>
                </c:pt>
                <c:pt idx="882">
                  <c:v>164.5</c:v>
                </c:pt>
                <c:pt idx="883">
                  <c:v>165.2</c:v>
                </c:pt>
                <c:pt idx="884">
                  <c:v>165.7</c:v>
                </c:pt>
                <c:pt idx="885">
                  <c:v>166.2</c:v>
                </c:pt>
                <c:pt idx="886">
                  <c:v>166.6</c:v>
                </c:pt>
                <c:pt idx="887">
                  <c:v>167.1</c:v>
                </c:pt>
                <c:pt idx="888">
                  <c:v>167.5</c:v>
                </c:pt>
                <c:pt idx="889">
                  <c:v>168</c:v>
                </c:pt>
                <c:pt idx="890">
                  <c:v>168.5</c:v>
                </c:pt>
                <c:pt idx="891">
                  <c:v>168.9</c:v>
                </c:pt>
                <c:pt idx="892">
                  <c:v>169.4</c:v>
                </c:pt>
                <c:pt idx="893">
                  <c:v>169.8</c:v>
                </c:pt>
                <c:pt idx="894">
                  <c:v>170.3</c:v>
                </c:pt>
                <c:pt idx="895">
                  <c:v>170.7</c:v>
                </c:pt>
                <c:pt idx="896">
                  <c:v>171.2</c:v>
                </c:pt>
                <c:pt idx="897">
                  <c:v>171.6</c:v>
                </c:pt>
                <c:pt idx="898">
                  <c:v>172</c:v>
                </c:pt>
                <c:pt idx="899">
                  <c:v>172.2</c:v>
                </c:pt>
                <c:pt idx="900">
                  <c:v>172.4</c:v>
                </c:pt>
                <c:pt idx="901">
                  <c:v>172.5</c:v>
                </c:pt>
                <c:pt idx="902">
                  <c:v>172.7</c:v>
                </c:pt>
                <c:pt idx="903">
                  <c:v>172.9</c:v>
                </c:pt>
                <c:pt idx="904">
                  <c:v>173.1</c:v>
                </c:pt>
                <c:pt idx="905">
                  <c:v>173.3</c:v>
                </c:pt>
                <c:pt idx="906">
                  <c:v>173.5</c:v>
                </c:pt>
                <c:pt idx="907">
                  <c:v>173.7</c:v>
                </c:pt>
                <c:pt idx="908">
                  <c:v>173.9</c:v>
                </c:pt>
                <c:pt idx="909">
                  <c:v>174</c:v>
                </c:pt>
                <c:pt idx="910">
                  <c:v>174.2</c:v>
                </c:pt>
                <c:pt idx="911">
                  <c:v>174.4</c:v>
                </c:pt>
                <c:pt idx="912">
                  <c:v>174.6</c:v>
                </c:pt>
                <c:pt idx="913">
                  <c:v>174.8</c:v>
                </c:pt>
                <c:pt idx="914">
                  <c:v>175</c:v>
                </c:pt>
                <c:pt idx="915">
                  <c:v>175.2</c:v>
                </c:pt>
                <c:pt idx="916">
                  <c:v>175.4</c:v>
                </c:pt>
                <c:pt idx="917">
                  <c:v>175.5</c:v>
                </c:pt>
                <c:pt idx="918">
                  <c:v>175.7</c:v>
                </c:pt>
                <c:pt idx="919">
                  <c:v>175.9</c:v>
                </c:pt>
                <c:pt idx="920">
                  <c:v>176.1</c:v>
                </c:pt>
                <c:pt idx="921">
                  <c:v>176.3</c:v>
                </c:pt>
                <c:pt idx="922">
                  <c:v>176.5</c:v>
                </c:pt>
                <c:pt idx="923">
                  <c:v>176.7</c:v>
                </c:pt>
                <c:pt idx="924">
                  <c:v>176.9</c:v>
                </c:pt>
                <c:pt idx="925">
                  <c:v>177</c:v>
                </c:pt>
                <c:pt idx="926">
                  <c:v>177.2</c:v>
                </c:pt>
                <c:pt idx="927">
                  <c:v>177.4</c:v>
                </c:pt>
                <c:pt idx="928">
                  <c:v>177.6</c:v>
                </c:pt>
                <c:pt idx="929">
                  <c:v>177.8</c:v>
                </c:pt>
                <c:pt idx="930">
                  <c:v>178</c:v>
                </c:pt>
                <c:pt idx="931">
                  <c:v>178.2</c:v>
                </c:pt>
                <c:pt idx="932">
                  <c:v>178.4</c:v>
                </c:pt>
                <c:pt idx="933">
                  <c:v>178.7</c:v>
                </c:pt>
                <c:pt idx="934">
                  <c:v>179.1</c:v>
                </c:pt>
                <c:pt idx="935">
                  <c:v>179.5</c:v>
                </c:pt>
                <c:pt idx="936">
                  <c:v>179.8</c:v>
                </c:pt>
                <c:pt idx="937">
                  <c:v>180.2</c:v>
                </c:pt>
                <c:pt idx="938">
                  <c:v>180.6</c:v>
                </c:pt>
                <c:pt idx="939">
                  <c:v>180.9</c:v>
                </c:pt>
                <c:pt idx="940">
                  <c:v>181.3</c:v>
                </c:pt>
                <c:pt idx="941">
                  <c:v>181.7</c:v>
                </c:pt>
                <c:pt idx="942">
                  <c:v>182</c:v>
                </c:pt>
                <c:pt idx="943">
                  <c:v>182.4</c:v>
                </c:pt>
                <c:pt idx="944">
                  <c:v>182.8</c:v>
                </c:pt>
                <c:pt idx="945">
                  <c:v>183.2</c:v>
                </c:pt>
                <c:pt idx="946">
                  <c:v>183.5</c:v>
                </c:pt>
                <c:pt idx="947">
                  <c:v>183.9</c:v>
                </c:pt>
                <c:pt idx="948">
                  <c:v>184.3</c:v>
                </c:pt>
                <c:pt idx="949">
                  <c:v>184.6</c:v>
                </c:pt>
                <c:pt idx="950">
                  <c:v>192.4</c:v>
                </c:pt>
                <c:pt idx="951">
                  <c:v>195.4</c:v>
                </c:pt>
                <c:pt idx="952">
                  <c:v>198.3</c:v>
                </c:pt>
                <c:pt idx="953">
                  <c:v>200.6</c:v>
                </c:pt>
                <c:pt idx="954">
                  <c:v>203</c:v>
                </c:pt>
                <c:pt idx="955">
                  <c:v>205.4</c:v>
                </c:pt>
                <c:pt idx="956">
                  <c:v>207.8</c:v>
                </c:pt>
                <c:pt idx="957">
                  <c:v>210.2</c:v>
                </c:pt>
                <c:pt idx="958">
                  <c:v>212.6</c:v>
                </c:pt>
                <c:pt idx="959">
                  <c:v>215</c:v>
                </c:pt>
                <c:pt idx="960">
                  <c:v>217.4</c:v>
                </c:pt>
                <c:pt idx="961">
                  <c:v>218.9</c:v>
                </c:pt>
                <c:pt idx="962">
                  <c:v>220.2</c:v>
                </c:pt>
                <c:pt idx="963">
                  <c:v>221.5</c:v>
                </c:pt>
                <c:pt idx="964">
                  <c:v>222.8</c:v>
                </c:pt>
                <c:pt idx="965">
                  <c:v>224.2</c:v>
                </c:pt>
                <c:pt idx="966">
                  <c:v>225.1</c:v>
                </c:pt>
                <c:pt idx="967">
                  <c:v>226</c:v>
                </c:pt>
                <c:pt idx="968">
                  <c:v>226.8</c:v>
                </c:pt>
                <c:pt idx="969">
                  <c:v>227.7</c:v>
                </c:pt>
                <c:pt idx="970">
                  <c:v>228.5</c:v>
                </c:pt>
                <c:pt idx="971">
                  <c:v>229.3</c:v>
                </c:pt>
                <c:pt idx="972">
                  <c:v>230.2</c:v>
                </c:pt>
                <c:pt idx="973">
                  <c:v>231</c:v>
                </c:pt>
                <c:pt idx="974">
                  <c:v>231.7</c:v>
                </c:pt>
                <c:pt idx="975">
                  <c:v>232.2</c:v>
                </c:pt>
                <c:pt idx="976">
                  <c:v>232.8</c:v>
                </c:pt>
                <c:pt idx="977">
                  <c:v>233.3</c:v>
                </c:pt>
                <c:pt idx="978">
                  <c:v>233.9</c:v>
                </c:pt>
                <c:pt idx="979">
                  <c:v>234.5</c:v>
                </c:pt>
                <c:pt idx="980">
                  <c:v>235</c:v>
                </c:pt>
                <c:pt idx="981">
                  <c:v>235.6</c:v>
                </c:pt>
                <c:pt idx="982">
                  <c:v>236.2</c:v>
                </c:pt>
                <c:pt idx="983">
                  <c:v>236.7</c:v>
                </c:pt>
                <c:pt idx="984">
                  <c:v>237.3</c:v>
                </c:pt>
                <c:pt idx="985">
                  <c:v>237.8</c:v>
                </c:pt>
                <c:pt idx="986">
                  <c:v>238.2</c:v>
                </c:pt>
                <c:pt idx="987">
                  <c:v>238.4</c:v>
                </c:pt>
                <c:pt idx="988">
                  <c:v>238.7</c:v>
                </c:pt>
                <c:pt idx="989">
                  <c:v>238.9</c:v>
                </c:pt>
                <c:pt idx="990">
                  <c:v>239.2</c:v>
                </c:pt>
                <c:pt idx="991">
                  <c:v>239.4</c:v>
                </c:pt>
                <c:pt idx="992">
                  <c:v>239.6</c:v>
                </c:pt>
                <c:pt idx="993">
                  <c:v>239.9</c:v>
                </c:pt>
                <c:pt idx="994">
                  <c:v>240.1</c:v>
                </c:pt>
                <c:pt idx="995">
                  <c:v>240.4</c:v>
                </c:pt>
                <c:pt idx="996">
                  <c:v>240.6</c:v>
                </c:pt>
                <c:pt idx="997">
                  <c:v>240.8</c:v>
                </c:pt>
                <c:pt idx="998">
                  <c:v>241.1</c:v>
                </c:pt>
                <c:pt idx="999">
                  <c:v>241.3</c:v>
                </c:pt>
                <c:pt idx="1000">
                  <c:v>241.6</c:v>
                </c:pt>
                <c:pt idx="1001">
                  <c:v>241.8</c:v>
                </c:pt>
                <c:pt idx="1002">
                  <c:v>242</c:v>
                </c:pt>
                <c:pt idx="1003">
                  <c:v>242.3</c:v>
                </c:pt>
                <c:pt idx="1004">
                  <c:v>242.5</c:v>
                </c:pt>
                <c:pt idx="1005">
                  <c:v>242.8</c:v>
                </c:pt>
                <c:pt idx="1006">
                  <c:v>243</c:v>
                </c:pt>
                <c:pt idx="1007">
                  <c:v>243.2</c:v>
                </c:pt>
                <c:pt idx="1008">
                  <c:v>243.5</c:v>
                </c:pt>
                <c:pt idx="1009">
                  <c:v>243.7</c:v>
                </c:pt>
                <c:pt idx="1010">
                  <c:v>244</c:v>
                </c:pt>
                <c:pt idx="1011">
                  <c:v>244.2</c:v>
                </c:pt>
                <c:pt idx="1012">
                  <c:v>244.4</c:v>
                </c:pt>
                <c:pt idx="1013">
                  <c:v>244.7</c:v>
                </c:pt>
                <c:pt idx="1014">
                  <c:v>244.9</c:v>
                </c:pt>
                <c:pt idx="1015">
                  <c:v>245.1</c:v>
                </c:pt>
                <c:pt idx="1016">
                  <c:v>245.4</c:v>
                </c:pt>
                <c:pt idx="1017">
                  <c:v>245.6</c:v>
                </c:pt>
                <c:pt idx="1018">
                  <c:v>245.8</c:v>
                </c:pt>
                <c:pt idx="1019">
                  <c:v>246</c:v>
                </c:pt>
                <c:pt idx="1020">
                  <c:v>246.2</c:v>
                </c:pt>
                <c:pt idx="1021">
                  <c:v>246.4</c:v>
                </c:pt>
                <c:pt idx="1022">
                  <c:v>246.6</c:v>
                </c:pt>
                <c:pt idx="1023">
                  <c:v>246.9</c:v>
                </c:pt>
                <c:pt idx="1024">
                  <c:v>247.1</c:v>
                </c:pt>
                <c:pt idx="1025">
                  <c:v>247.3</c:v>
                </c:pt>
                <c:pt idx="1026">
                  <c:v>247.5</c:v>
                </c:pt>
                <c:pt idx="1027">
                  <c:v>247.7</c:v>
                </c:pt>
                <c:pt idx="1028">
                  <c:v>247.9</c:v>
                </c:pt>
                <c:pt idx="1029">
                  <c:v>248.1</c:v>
                </c:pt>
                <c:pt idx="1030">
                  <c:v>248.4</c:v>
                </c:pt>
                <c:pt idx="1031">
                  <c:v>248.6</c:v>
                </c:pt>
                <c:pt idx="1032">
                  <c:v>248.8</c:v>
                </c:pt>
                <c:pt idx="1033">
                  <c:v>249</c:v>
                </c:pt>
                <c:pt idx="1034">
                  <c:v>249.2</c:v>
                </c:pt>
                <c:pt idx="1035">
                  <c:v>249.4</c:v>
                </c:pt>
                <c:pt idx="1036">
                  <c:v>249.6</c:v>
                </c:pt>
                <c:pt idx="1037">
                  <c:v>249.9</c:v>
                </c:pt>
                <c:pt idx="1038">
                  <c:v>250.1</c:v>
                </c:pt>
                <c:pt idx="1039">
                  <c:v>250.3</c:v>
                </c:pt>
                <c:pt idx="1040">
                  <c:v>250.5</c:v>
                </c:pt>
                <c:pt idx="1041">
                  <c:v>250.7</c:v>
                </c:pt>
                <c:pt idx="1042">
                  <c:v>250.9</c:v>
                </c:pt>
                <c:pt idx="1043">
                  <c:v>251.1</c:v>
                </c:pt>
                <c:pt idx="1044">
                  <c:v>251.4</c:v>
                </c:pt>
                <c:pt idx="1045">
                  <c:v>251.6</c:v>
                </c:pt>
                <c:pt idx="1046">
                  <c:v>252.5</c:v>
                </c:pt>
                <c:pt idx="1047">
                  <c:v>254.7</c:v>
                </c:pt>
                <c:pt idx="1048">
                  <c:v>256.9</c:v>
                </c:pt>
                <c:pt idx="1049">
                  <c:v>259.2</c:v>
                </c:pt>
                <c:pt idx="1050">
                  <c:v>261.5</c:v>
                </c:pt>
                <c:pt idx="1051">
                  <c:v>263.8</c:v>
                </c:pt>
                <c:pt idx="1052">
                  <c:v>265.6</c:v>
                </c:pt>
                <c:pt idx="1053">
                  <c:v>266.2</c:v>
                </c:pt>
                <c:pt idx="1054">
                  <c:v>266.8</c:v>
                </c:pt>
                <c:pt idx="1055">
                  <c:v>267.3</c:v>
                </c:pt>
                <c:pt idx="1056">
                  <c:v>267.9</c:v>
                </c:pt>
                <c:pt idx="1057">
                  <c:v>268.5</c:v>
                </c:pt>
                <c:pt idx="1058">
                  <c:v>269</c:v>
                </c:pt>
                <c:pt idx="1059">
                  <c:v>269.6</c:v>
                </c:pt>
                <c:pt idx="1060">
                  <c:v>270.2</c:v>
                </c:pt>
                <c:pt idx="1061">
                  <c:v>270.7</c:v>
                </c:pt>
                <c:pt idx="1062">
                  <c:v>271.3</c:v>
                </c:pt>
                <c:pt idx="1063">
                  <c:v>271.8</c:v>
                </c:pt>
                <c:pt idx="1064">
                  <c:v>272.4</c:v>
                </c:pt>
                <c:pt idx="1065">
                  <c:v>272.5</c:v>
                </c:pt>
                <c:pt idx="1066">
                  <c:v>272.6</c:v>
                </c:pt>
                <c:pt idx="1067">
                  <c:v>272.8</c:v>
                </c:pt>
                <c:pt idx="1068">
                  <c:v>272.9</c:v>
                </c:pt>
                <c:pt idx="1069">
                  <c:v>273</c:v>
                </c:pt>
                <c:pt idx="1070">
                  <c:v>273.2</c:v>
                </c:pt>
                <c:pt idx="1071">
                  <c:v>273.3</c:v>
                </c:pt>
                <c:pt idx="1072">
                  <c:v>273.4</c:v>
                </c:pt>
                <c:pt idx="1073">
                  <c:v>273.5</c:v>
                </c:pt>
                <c:pt idx="1074">
                  <c:v>273.7</c:v>
                </c:pt>
                <c:pt idx="1075">
                  <c:v>273.8</c:v>
                </c:pt>
                <c:pt idx="1076">
                  <c:v>273.9</c:v>
                </c:pt>
                <c:pt idx="1077">
                  <c:v>274</c:v>
                </c:pt>
                <c:pt idx="1078">
                  <c:v>274.2</c:v>
                </c:pt>
                <c:pt idx="1079">
                  <c:v>274.3</c:v>
                </c:pt>
                <c:pt idx="1080">
                  <c:v>274.4</c:v>
                </c:pt>
                <c:pt idx="1081">
                  <c:v>274.5</c:v>
                </c:pt>
                <c:pt idx="1082">
                  <c:v>274.7</c:v>
                </c:pt>
                <c:pt idx="1083">
                  <c:v>274.8</c:v>
                </c:pt>
                <c:pt idx="1084">
                  <c:v>274.9</c:v>
                </c:pt>
                <c:pt idx="1085">
                  <c:v>275</c:v>
                </c:pt>
                <c:pt idx="1086">
                  <c:v>275.2</c:v>
                </c:pt>
                <c:pt idx="1087">
                  <c:v>275.3</c:v>
                </c:pt>
                <c:pt idx="1088">
                  <c:v>275.4</c:v>
                </c:pt>
                <c:pt idx="1089">
                  <c:v>275.6</c:v>
                </c:pt>
                <c:pt idx="1090">
                  <c:v>275.7</c:v>
                </c:pt>
                <c:pt idx="1091">
                  <c:v>275.8</c:v>
                </c:pt>
                <c:pt idx="1092">
                  <c:v>275.9</c:v>
                </c:pt>
                <c:pt idx="1093">
                  <c:v>276.1</c:v>
                </c:pt>
                <c:pt idx="1094">
                  <c:v>276.2</c:v>
                </c:pt>
                <c:pt idx="1095">
                  <c:v>276.3</c:v>
                </c:pt>
                <c:pt idx="1096">
                  <c:v>276.4</c:v>
                </c:pt>
                <c:pt idx="1097">
                  <c:v>276.6</c:v>
                </c:pt>
                <c:pt idx="1098">
                  <c:v>276.7</c:v>
                </c:pt>
                <c:pt idx="1099">
                  <c:v>276.8</c:v>
                </c:pt>
                <c:pt idx="1100">
                  <c:v>276.9</c:v>
                </c:pt>
                <c:pt idx="1101">
                  <c:v>277.1</c:v>
                </c:pt>
                <c:pt idx="1102">
                  <c:v>277.2</c:v>
                </c:pt>
                <c:pt idx="1103">
                  <c:v>277.3</c:v>
                </c:pt>
                <c:pt idx="1104">
                  <c:v>277.5</c:v>
                </c:pt>
                <c:pt idx="1105">
                  <c:v>277.6</c:v>
                </c:pt>
                <c:pt idx="1106">
                  <c:v>277.7</c:v>
                </c:pt>
                <c:pt idx="1107">
                  <c:v>277.8</c:v>
                </c:pt>
                <c:pt idx="1108">
                  <c:v>278</c:v>
                </c:pt>
                <c:pt idx="1109">
                  <c:v>278.1</c:v>
                </c:pt>
                <c:pt idx="1110">
                  <c:v>278.2</c:v>
                </c:pt>
                <c:pt idx="1111">
                  <c:v>278.3</c:v>
                </c:pt>
                <c:pt idx="1112">
                  <c:v>278.5</c:v>
                </c:pt>
                <c:pt idx="1113">
                  <c:v>278.6</c:v>
                </c:pt>
                <c:pt idx="1114">
                  <c:v>278.7</c:v>
                </c:pt>
                <c:pt idx="1115">
                  <c:v>278.8</c:v>
                </c:pt>
                <c:pt idx="1116">
                  <c:v>279</c:v>
                </c:pt>
                <c:pt idx="1117">
                  <c:v>279.1</c:v>
                </c:pt>
                <c:pt idx="1118">
                  <c:v>279.2</c:v>
                </c:pt>
                <c:pt idx="1119">
                  <c:v>279.4</c:v>
                </c:pt>
                <c:pt idx="1120">
                  <c:v>279.7</c:v>
                </c:pt>
                <c:pt idx="1121">
                  <c:v>280</c:v>
                </c:pt>
                <c:pt idx="1122">
                  <c:v>280.3</c:v>
                </c:pt>
                <c:pt idx="1123">
                  <c:v>280.6</c:v>
                </c:pt>
                <c:pt idx="1124">
                  <c:v>280.9</c:v>
                </c:pt>
                <c:pt idx="1125">
                  <c:v>281.2</c:v>
                </c:pt>
                <c:pt idx="1126">
                  <c:v>281.5</c:v>
                </c:pt>
                <c:pt idx="1127">
                  <c:v>281.8</c:v>
                </c:pt>
                <c:pt idx="1128">
                  <c:v>282.1</c:v>
                </c:pt>
                <c:pt idx="1129">
                  <c:v>282.4</c:v>
                </c:pt>
                <c:pt idx="1130">
                  <c:v>282.8</c:v>
                </c:pt>
                <c:pt idx="1131">
                  <c:v>283.1</c:v>
                </c:pt>
                <c:pt idx="1132">
                  <c:v>283.4</c:v>
                </c:pt>
                <c:pt idx="1133">
                  <c:v>283.7</c:v>
                </c:pt>
                <c:pt idx="1134">
                  <c:v>284</c:v>
                </c:pt>
                <c:pt idx="1135">
                  <c:v>284.3</c:v>
                </c:pt>
                <c:pt idx="1136">
                  <c:v>284.6</c:v>
                </c:pt>
                <c:pt idx="1137">
                  <c:v>284.9</c:v>
                </c:pt>
                <c:pt idx="1138">
                  <c:v>285.2</c:v>
                </c:pt>
                <c:pt idx="1139">
                  <c:v>285.5</c:v>
                </c:pt>
                <c:pt idx="1140">
                  <c:v>285.8</c:v>
                </c:pt>
                <c:pt idx="1141">
                  <c:v>286.1</c:v>
                </c:pt>
                <c:pt idx="1142">
                  <c:v>293.7</c:v>
                </c:pt>
                <c:pt idx="1143">
                  <c:v>295.1</c:v>
                </c:pt>
                <c:pt idx="1144">
                  <c:v>296.4</c:v>
                </c:pt>
                <c:pt idx="1145">
                  <c:v>297.7</c:v>
                </c:pt>
                <c:pt idx="1146">
                  <c:v>299</c:v>
                </c:pt>
                <c:pt idx="1147">
                  <c:v>300.3</c:v>
                </c:pt>
                <c:pt idx="1148">
                  <c:v>301.4</c:v>
                </c:pt>
                <c:pt idx="1149">
                  <c:v>302.5</c:v>
                </c:pt>
                <c:pt idx="1150">
                  <c:v>303.6</c:v>
                </c:pt>
                <c:pt idx="1151">
                  <c:v>304.7</c:v>
                </c:pt>
                <c:pt idx="1152">
                  <c:v>305.8</c:v>
                </c:pt>
                <c:pt idx="1153">
                  <c:v>306.9</c:v>
                </c:pt>
                <c:pt idx="1154">
                  <c:v>307.6</c:v>
                </c:pt>
                <c:pt idx="1155">
                  <c:v>307.9</c:v>
                </c:pt>
                <c:pt idx="1156">
                  <c:v>308.3</c:v>
                </c:pt>
                <c:pt idx="1157">
                  <c:v>308.6</c:v>
                </c:pt>
                <c:pt idx="1158">
                  <c:v>309</c:v>
                </c:pt>
                <c:pt idx="1159">
                  <c:v>309.3</c:v>
                </c:pt>
                <c:pt idx="1160">
                  <c:v>309.7</c:v>
                </c:pt>
                <c:pt idx="1161">
                  <c:v>310</c:v>
                </c:pt>
                <c:pt idx="1162">
                  <c:v>310.4</c:v>
                </c:pt>
                <c:pt idx="1163">
                  <c:v>310.7</c:v>
                </c:pt>
                <c:pt idx="1164">
                  <c:v>311.1</c:v>
                </c:pt>
                <c:pt idx="1165">
                  <c:v>311.4</c:v>
                </c:pt>
                <c:pt idx="1166">
                  <c:v>311.8</c:v>
                </c:pt>
                <c:pt idx="1167">
                  <c:v>312.1</c:v>
                </c:pt>
                <c:pt idx="1168">
                  <c:v>312.5</c:v>
                </c:pt>
                <c:pt idx="1169">
                  <c:v>312.8</c:v>
                </c:pt>
                <c:pt idx="1170">
                  <c:v>313.2</c:v>
                </c:pt>
                <c:pt idx="1171">
                  <c:v>313.6</c:v>
                </c:pt>
                <c:pt idx="1172">
                  <c:v>313.9</c:v>
                </c:pt>
                <c:pt idx="1173">
                  <c:v>314.3</c:v>
                </c:pt>
                <c:pt idx="1174">
                  <c:v>314.5</c:v>
                </c:pt>
                <c:pt idx="1175">
                  <c:v>314.7</c:v>
                </c:pt>
                <c:pt idx="1176">
                  <c:v>314.9</c:v>
                </c:pt>
                <c:pt idx="1177">
                  <c:v>315</c:v>
                </c:pt>
                <c:pt idx="1178">
                  <c:v>315.2</c:v>
                </c:pt>
                <c:pt idx="1179">
                  <c:v>315.4</c:v>
                </c:pt>
                <c:pt idx="1180">
                  <c:v>315.6</c:v>
                </c:pt>
                <c:pt idx="1181">
                  <c:v>315.7</c:v>
                </c:pt>
                <c:pt idx="1182">
                  <c:v>315.9</c:v>
                </c:pt>
                <c:pt idx="1183">
                  <c:v>316.1</c:v>
                </c:pt>
                <c:pt idx="1184">
                  <c:v>316.3</c:v>
                </c:pt>
                <c:pt idx="1185">
                  <c:v>316.4</c:v>
                </c:pt>
                <c:pt idx="1186">
                  <c:v>316.6</c:v>
                </c:pt>
                <c:pt idx="1187">
                  <c:v>316.8</c:v>
                </c:pt>
                <c:pt idx="1188">
                  <c:v>317</c:v>
                </c:pt>
                <c:pt idx="1189">
                  <c:v>317.1</c:v>
                </c:pt>
                <c:pt idx="1190">
                  <c:v>317.3</c:v>
                </c:pt>
                <c:pt idx="1191">
                  <c:v>317.5</c:v>
                </c:pt>
                <c:pt idx="1192">
                  <c:v>317.7</c:v>
                </c:pt>
                <c:pt idx="1193">
                  <c:v>317.8</c:v>
                </c:pt>
                <c:pt idx="1194">
                  <c:v>318</c:v>
                </c:pt>
                <c:pt idx="1195">
                  <c:v>318.2</c:v>
                </c:pt>
                <c:pt idx="1196">
                  <c:v>318.4</c:v>
                </c:pt>
                <c:pt idx="1197">
                  <c:v>318.5</c:v>
                </c:pt>
                <c:pt idx="1198">
                  <c:v>318.7</c:v>
                </c:pt>
                <c:pt idx="1199">
                  <c:v>318.9</c:v>
                </c:pt>
                <c:pt idx="1200">
                  <c:v>319.1</c:v>
                </c:pt>
                <c:pt idx="1201">
                  <c:v>319.3</c:v>
                </c:pt>
                <c:pt idx="1202">
                  <c:v>319.4</c:v>
                </c:pt>
                <c:pt idx="1203">
                  <c:v>319.6</c:v>
                </c:pt>
                <c:pt idx="1204">
                  <c:v>319.8</c:v>
                </c:pt>
                <c:pt idx="1205">
                  <c:v>320</c:v>
                </c:pt>
                <c:pt idx="1206">
                  <c:v>320.1</c:v>
                </c:pt>
                <c:pt idx="1207">
                  <c:v>320.3</c:v>
                </c:pt>
                <c:pt idx="1208">
                  <c:v>320.5</c:v>
                </c:pt>
                <c:pt idx="1209">
                  <c:v>320.7</c:v>
                </c:pt>
                <c:pt idx="1210">
                  <c:v>320.8</c:v>
                </c:pt>
                <c:pt idx="1211">
                  <c:v>321</c:v>
                </c:pt>
                <c:pt idx="1212">
                  <c:v>321.2</c:v>
                </c:pt>
                <c:pt idx="1213">
                  <c:v>321.4</c:v>
                </c:pt>
                <c:pt idx="1214">
                  <c:v>321.6</c:v>
                </c:pt>
                <c:pt idx="1215">
                  <c:v>321.9</c:v>
                </c:pt>
                <c:pt idx="1216">
                  <c:v>322.2</c:v>
                </c:pt>
                <c:pt idx="1217">
                  <c:v>322.5</c:v>
                </c:pt>
                <c:pt idx="1218">
                  <c:v>322.8</c:v>
                </c:pt>
                <c:pt idx="1219">
                  <c:v>323.1</c:v>
                </c:pt>
                <c:pt idx="1220">
                  <c:v>323.4</c:v>
                </c:pt>
                <c:pt idx="1221">
                  <c:v>323.7</c:v>
                </c:pt>
                <c:pt idx="1222">
                  <c:v>324</c:v>
                </c:pt>
                <c:pt idx="1223">
                  <c:v>324.3</c:v>
                </c:pt>
                <c:pt idx="1224">
                  <c:v>324.6</c:v>
                </c:pt>
                <c:pt idx="1225">
                  <c:v>324.9</c:v>
                </c:pt>
                <c:pt idx="1226">
                  <c:v>325.2</c:v>
                </c:pt>
                <c:pt idx="1227">
                  <c:v>325.5</c:v>
                </c:pt>
                <c:pt idx="1228">
                  <c:v>325.7</c:v>
                </c:pt>
                <c:pt idx="1229">
                  <c:v>326</c:v>
                </c:pt>
                <c:pt idx="1230">
                  <c:v>326.3</c:v>
                </c:pt>
                <c:pt idx="1231">
                  <c:v>326.6</c:v>
                </c:pt>
                <c:pt idx="1232">
                  <c:v>326.9</c:v>
                </c:pt>
                <c:pt idx="1233">
                  <c:v>327.2</c:v>
                </c:pt>
                <c:pt idx="1234">
                  <c:v>327.5</c:v>
                </c:pt>
                <c:pt idx="1235">
                  <c:v>327.8</c:v>
                </c:pt>
                <c:pt idx="1236">
                  <c:v>328.1</c:v>
                </c:pt>
                <c:pt idx="1237">
                  <c:v>328.4</c:v>
                </c:pt>
                <c:pt idx="1238">
                  <c:v>336.4</c:v>
                </c:pt>
                <c:pt idx="1239">
                  <c:v>338.4</c:v>
                </c:pt>
                <c:pt idx="1240">
                  <c:v>340.5</c:v>
                </c:pt>
                <c:pt idx="1241">
                  <c:v>342.5</c:v>
                </c:pt>
                <c:pt idx="1242">
                  <c:v>343.8</c:v>
                </c:pt>
                <c:pt idx="1243">
                  <c:v>344.9</c:v>
                </c:pt>
                <c:pt idx="1244">
                  <c:v>346.1</c:v>
                </c:pt>
                <c:pt idx="1245">
                  <c:v>347.2</c:v>
                </c:pt>
                <c:pt idx="1246">
                  <c:v>348.3</c:v>
                </c:pt>
                <c:pt idx="1247">
                  <c:v>349.5</c:v>
                </c:pt>
                <c:pt idx="1248">
                  <c:v>350.2</c:v>
                </c:pt>
                <c:pt idx="1249">
                  <c:v>350.7</c:v>
                </c:pt>
                <c:pt idx="1250">
                  <c:v>351.1</c:v>
                </c:pt>
                <c:pt idx="1251">
                  <c:v>351.6</c:v>
                </c:pt>
                <c:pt idx="1252">
                  <c:v>352</c:v>
                </c:pt>
                <c:pt idx="1253">
                  <c:v>352.5</c:v>
                </c:pt>
                <c:pt idx="1254">
                  <c:v>353</c:v>
                </c:pt>
                <c:pt idx="1255">
                  <c:v>353.4</c:v>
                </c:pt>
                <c:pt idx="1256">
                  <c:v>353.9</c:v>
                </c:pt>
                <c:pt idx="1257">
                  <c:v>354.3</c:v>
                </c:pt>
                <c:pt idx="1258">
                  <c:v>354.8</c:v>
                </c:pt>
                <c:pt idx="1259">
                  <c:v>355.2</c:v>
                </c:pt>
                <c:pt idx="1260">
                  <c:v>355.7</c:v>
                </c:pt>
                <c:pt idx="1261">
                  <c:v>356.1</c:v>
                </c:pt>
                <c:pt idx="1262">
                  <c:v>356.6</c:v>
                </c:pt>
                <c:pt idx="1263">
                  <c:v>357</c:v>
                </c:pt>
                <c:pt idx="1264">
                  <c:v>357.3</c:v>
                </c:pt>
                <c:pt idx="1265">
                  <c:v>357.5</c:v>
                </c:pt>
                <c:pt idx="1266">
                  <c:v>357.8</c:v>
                </c:pt>
                <c:pt idx="1267">
                  <c:v>358</c:v>
                </c:pt>
                <c:pt idx="1268">
                  <c:v>358.2</c:v>
                </c:pt>
                <c:pt idx="1269">
                  <c:v>358.4</c:v>
                </c:pt>
                <c:pt idx="1270">
                  <c:v>358.6</c:v>
                </c:pt>
                <c:pt idx="1271">
                  <c:v>358.9</c:v>
                </c:pt>
                <c:pt idx="1272">
                  <c:v>359.1</c:v>
                </c:pt>
                <c:pt idx="1273">
                  <c:v>359.3</c:v>
                </c:pt>
                <c:pt idx="1274">
                  <c:v>359.5</c:v>
                </c:pt>
                <c:pt idx="1275">
                  <c:v>359.8</c:v>
                </c:pt>
                <c:pt idx="1276">
                  <c:v>360</c:v>
                </c:pt>
                <c:pt idx="1277">
                  <c:v>360.2</c:v>
                </c:pt>
                <c:pt idx="1278">
                  <c:v>360.4</c:v>
                </c:pt>
                <c:pt idx="1279">
                  <c:v>360.7</c:v>
                </c:pt>
                <c:pt idx="1280">
                  <c:v>360.9</c:v>
                </c:pt>
                <c:pt idx="1281">
                  <c:v>361.1</c:v>
                </c:pt>
                <c:pt idx="1282">
                  <c:v>361.3</c:v>
                </c:pt>
                <c:pt idx="1283">
                  <c:v>361.5</c:v>
                </c:pt>
                <c:pt idx="1284">
                  <c:v>361.8</c:v>
                </c:pt>
                <c:pt idx="1285">
                  <c:v>362</c:v>
                </c:pt>
                <c:pt idx="1286">
                  <c:v>362.2</c:v>
                </c:pt>
                <c:pt idx="1287">
                  <c:v>362.4</c:v>
                </c:pt>
                <c:pt idx="1288">
                  <c:v>362.7</c:v>
                </c:pt>
                <c:pt idx="1289">
                  <c:v>362.9</c:v>
                </c:pt>
                <c:pt idx="1290">
                  <c:v>363.1</c:v>
                </c:pt>
                <c:pt idx="1291">
                  <c:v>363.3</c:v>
                </c:pt>
                <c:pt idx="1292">
                  <c:v>363.6</c:v>
                </c:pt>
                <c:pt idx="1293">
                  <c:v>363.8</c:v>
                </c:pt>
                <c:pt idx="1294">
                  <c:v>364</c:v>
                </c:pt>
                <c:pt idx="1295">
                  <c:v>364.2</c:v>
                </c:pt>
                <c:pt idx="1296">
                  <c:v>364.5</c:v>
                </c:pt>
                <c:pt idx="1297">
                  <c:v>364.8</c:v>
                </c:pt>
                <c:pt idx="1298">
                  <c:v>365</c:v>
                </c:pt>
                <c:pt idx="1299">
                  <c:v>365.3</c:v>
                </c:pt>
                <c:pt idx="1300">
                  <c:v>365.6</c:v>
                </c:pt>
                <c:pt idx="1301">
                  <c:v>365.9</c:v>
                </c:pt>
                <c:pt idx="1302">
                  <c:v>366.2</c:v>
                </c:pt>
                <c:pt idx="1303">
                  <c:v>366.4</c:v>
                </c:pt>
                <c:pt idx="1304">
                  <c:v>366.7</c:v>
                </c:pt>
                <c:pt idx="1305">
                  <c:v>367</c:v>
                </c:pt>
                <c:pt idx="1306">
                  <c:v>367.3</c:v>
                </c:pt>
                <c:pt idx="1307">
                  <c:v>367.6</c:v>
                </c:pt>
                <c:pt idx="1308">
                  <c:v>367.9</c:v>
                </c:pt>
                <c:pt idx="1309">
                  <c:v>368.1</c:v>
                </c:pt>
                <c:pt idx="1310">
                  <c:v>368.4</c:v>
                </c:pt>
                <c:pt idx="1311">
                  <c:v>368.7</c:v>
                </c:pt>
                <c:pt idx="1312">
                  <c:v>369</c:v>
                </c:pt>
                <c:pt idx="1313">
                  <c:v>369.3</c:v>
                </c:pt>
                <c:pt idx="1314">
                  <c:v>369.5</c:v>
                </c:pt>
                <c:pt idx="1315">
                  <c:v>369.8</c:v>
                </c:pt>
                <c:pt idx="1316">
                  <c:v>370.1</c:v>
                </c:pt>
                <c:pt idx="1317">
                  <c:v>370.4</c:v>
                </c:pt>
                <c:pt idx="1318">
                  <c:v>370.7</c:v>
                </c:pt>
                <c:pt idx="1319">
                  <c:v>370.9</c:v>
                </c:pt>
                <c:pt idx="1320">
                  <c:v>371.2</c:v>
                </c:pt>
                <c:pt idx="1321">
                  <c:v>371.5</c:v>
                </c:pt>
                <c:pt idx="1322">
                  <c:v>372.1</c:v>
                </c:pt>
                <c:pt idx="1323">
                  <c:v>372.7</c:v>
                </c:pt>
                <c:pt idx="1324">
                  <c:v>373.2</c:v>
                </c:pt>
                <c:pt idx="1325">
                  <c:v>373.8</c:v>
                </c:pt>
                <c:pt idx="1326">
                  <c:v>374.4</c:v>
                </c:pt>
                <c:pt idx="1327">
                  <c:v>374.9</c:v>
                </c:pt>
                <c:pt idx="1328">
                  <c:v>375.5</c:v>
                </c:pt>
                <c:pt idx="1329">
                  <c:v>376.1</c:v>
                </c:pt>
                <c:pt idx="1330">
                  <c:v>376.7</c:v>
                </c:pt>
                <c:pt idx="1331">
                  <c:v>377.2</c:v>
                </c:pt>
                <c:pt idx="1332">
                  <c:v>377.8</c:v>
                </c:pt>
                <c:pt idx="1333">
                  <c:v>378.4</c:v>
                </c:pt>
                <c:pt idx="1334">
                  <c:v>386.4</c:v>
                </c:pt>
                <c:pt idx="1335">
                  <c:v>388.1</c:v>
                </c:pt>
                <c:pt idx="1336">
                  <c:v>389.8</c:v>
                </c:pt>
                <c:pt idx="1337">
                  <c:v>391.6</c:v>
                </c:pt>
                <c:pt idx="1338">
                  <c:v>393.1</c:v>
                </c:pt>
                <c:pt idx="1339">
                  <c:v>393.2</c:v>
                </c:pt>
                <c:pt idx="1340">
                  <c:v>393.3</c:v>
                </c:pt>
                <c:pt idx="1341">
                  <c:v>393.4</c:v>
                </c:pt>
                <c:pt idx="1342">
                  <c:v>393.5</c:v>
                </c:pt>
                <c:pt idx="1343">
                  <c:v>393.6</c:v>
                </c:pt>
                <c:pt idx="1344">
                  <c:v>393.7</c:v>
                </c:pt>
                <c:pt idx="1345">
                  <c:v>393.8</c:v>
                </c:pt>
                <c:pt idx="1346">
                  <c:v>393.9</c:v>
                </c:pt>
                <c:pt idx="1347">
                  <c:v>394</c:v>
                </c:pt>
                <c:pt idx="1348">
                  <c:v>394</c:v>
                </c:pt>
                <c:pt idx="1349">
                  <c:v>394.1</c:v>
                </c:pt>
                <c:pt idx="1350">
                  <c:v>394.2</c:v>
                </c:pt>
                <c:pt idx="1351">
                  <c:v>394.3</c:v>
                </c:pt>
                <c:pt idx="1352">
                  <c:v>394.4</c:v>
                </c:pt>
                <c:pt idx="1353">
                  <c:v>394.5</c:v>
                </c:pt>
                <c:pt idx="1354">
                  <c:v>394.6</c:v>
                </c:pt>
                <c:pt idx="1355">
                  <c:v>394.7</c:v>
                </c:pt>
                <c:pt idx="1356">
                  <c:v>394.8</c:v>
                </c:pt>
                <c:pt idx="1357">
                  <c:v>394.9</c:v>
                </c:pt>
                <c:pt idx="1358">
                  <c:v>395</c:v>
                </c:pt>
                <c:pt idx="1359">
                  <c:v>395.1</c:v>
                </c:pt>
                <c:pt idx="1360">
                  <c:v>395.2</c:v>
                </c:pt>
                <c:pt idx="1361">
                  <c:v>395.3</c:v>
                </c:pt>
                <c:pt idx="1362">
                  <c:v>395.4</c:v>
                </c:pt>
                <c:pt idx="1363">
                  <c:v>395.4</c:v>
                </c:pt>
                <c:pt idx="1364">
                  <c:v>395.5</c:v>
                </c:pt>
                <c:pt idx="1365">
                  <c:v>395.6</c:v>
                </c:pt>
                <c:pt idx="1366">
                  <c:v>395.7</c:v>
                </c:pt>
                <c:pt idx="1367">
                  <c:v>395.8</c:v>
                </c:pt>
                <c:pt idx="1368">
                  <c:v>395.9</c:v>
                </c:pt>
                <c:pt idx="1369">
                  <c:v>396</c:v>
                </c:pt>
                <c:pt idx="1370">
                  <c:v>396.1</c:v>
                </c:pt>
                <c:pt idx="1371">
                  <c:v>396.2</c:v>
                </c:pt>
                <c:pt idx="1372">
                  <c:v>396.3</c:v>
                </c:pt>
                <c:pt idx="1373">
                  <c:v>396.4</c:v>
                </c:pt>
                <c:pt idx="1374">
                  <c:v>396.5</c:v>
                </c:pt>
                <c:pt idx="1375">
                  <c:v>396.6</c:v>
                </c:pt>
                <c:pt idx="1376">
                  <c:v>396.7</c:v>
                </c:pt>
                <c:pt idx="1377">
                  <c:v>396.7</c:v>
                </c:pt>
                <c:pt idx="1378">
                  <c:v>396.8</c:v>
                </c:pt>
                <c:pt idx="1379">
                  <c:v>396.9</c:v>
                </c:pt>
                <c:pt idx="1380">
                  <c:v>397</c:v>
                </c:pt>
                <c:pt idx="1381">
                  <c:v>397.1</c:v>
                </c:pt>
                <c:pt idx="1382">
                  <c:v>397.2</c:v>
                </c:pt>
                <c:pt idx="1383">
                  <c:v>397.3</c:v>
                </c:pt>
                <c:pt idx="1384">
                  <c:v>397.4</c:v>
                </c:pt>
                <c:pt idx="1385">
                  <c:v>397.5</c:v>
                </c:pt>
                <c:pt idx="1386">
                  <c:v>397.6</c:v>
                </c:pt>
                <c:pt idx="1387">
                  <c:v>397.7</c:v>
                </c:pt>
                <c:pt idx="1388">
                  <c:v>397.8</c:v>
                </c:pt>
                <c:pt idx="1389">
                  <c:v>397.9</c:v>
                </c:pt>
                <c:pt idx="1390">
                  <c:v>398</c:v>
                </c:pt>
                <c:pt idx="1391">
                  <c:v>398</c:v>
                </c:pt>
                <c:pt idx="1392">
                  <c:v>398.1</c:v>
                </c:pt>
                <c:pt idx="1393">
                  <c:v>398.2</c:v>
                </c:pt>
                <c:pt idx="1394">
                  <c:v>398.3</c:v>
                </c:pt>
                <c:pt idx="1395">
                  <c:v>398.4</c:v>
                </c:pt>
                <c:pt idx="1396">
                  <c:v>398.5</c:v>
                </c:pt>
                <c:pt idx="1397">
                  <c:v>398.6</c:v>
                </c:pt>
                <c:pt idx="1398">
                  <c:v>398.7</c:v>
                </c:pt>
                <c:pt idx="1399">
                  <c:v>398.8</c:v>
                </c:pt>
                <c:pt idx="1400">
                  <c:v>398.9</c:v>
                </c:pt>
                <c:pt idx="1401">
                  <c:v>399</c:v>
                </c:pt>
                <c:pt idx="1402">
                  <c:v>399.1</c:v>
                </c:pt>
                <c:pt idx="1403">
                  <c:v>399.2</c:v>
                </c:pt>
                <c:pt idx="1404">
                  <c:v>399.3</c:v>
                </c:pt>
                <c:pt idx="1405">
                  <c:v>399.3</c:v>
                </c:pt>
                <c:pt idx="1406">
                  <c:v>399.4</c:v>
                </c:pt>
                <c:pt idx="1407">
                  <c:v>399.5</c:v>
                </c:pt>
                <c:pt idx="1408">
                  <c:v>399.6</c:v>
                </c:pt>
                <c:pt idx="1409">
                  <c:v>399.7</c:v>
                </c:pt>
                <c:pt idx="1410">
                  <c:v>399.8</c:v>
                </c:pt>
                <c:pt idx="1411">
                  <c:v>399.9</c:v>
                </c:pt>
                <c:pt idx="1412">
                  <c:v>400</c:v>
                </c:pt>
                <c:pt idx="1413">
                  <c:v>400.1</c:v>
                </c:pt>
                <c:pt idx="1414">
                  <c:v>400.2</c:v>
                </c:pt>
                <c:pt idx="1415">
                  <c:v>400.3</c:v>
                </c:pt>
                <c:pt idx="1416">
                  <c:v>400.4</c:v>
                </c:pt>
                <c:pt idx="1417">
                  <c:v>401</c:v>
                </c:pt>
                <c:pt idx="1418">
                  <c:v>401.5</c:v>
                </c:pt>
                <c:pt idx="1419">
                  <c:v>402</c:v>
                </c:pt>
                <c:pt idx="1420">
                  <c:v>402.6</c:v>
                </c:pt>
                <c:pt idx="1421">
                  <c:v>403.1</c:v>
                </c:pt>
                <c:pt idx="1422">
                  <c:v>403.6</c:v>
                </c:pt>
                <c:pt idx="1423">
                  <c:v>404.1</c:v>
                </c:pt>
                <c:pt idx="1424">
                  <c:v>404.7</c:v>
                </c:pt>
                <c:pt idx="1425">
                  <c:v>405.2</c:v>
                </c:pt>
                <c:pt idx="1426">
                  <c:v>405.7</c:v>
                </c:pt>
                <c:pt idx="1427">
                  <c:v>406.3</c:v>
                </c:pt>
                <c:pt idx="1428">
                  <c:v>406.8</c:v>
                </c:pt>
                <c:pt idx="1429">
                  <c:v>407.3</c:v>
                </c:pt>
                <c:pt idx="1430">
                  <c:v>415.6</c:v>
                </c:pt>
                <c:pt idx="1431">
                  <c:v>417.9</c:v>
                </c:pt>
                <c:pt idx="1432">
                  <c:v>420.1</c:v>
                </c:pt>
                <c:pt idx="1433">
                  <c:v>422.3</c:v>
                </c:pt>
                <c:pt idx="1434">
                  <c:v>423.8</c:v>
                </c:pt>
                <c:pt idx="1435">
                  <c:v>425.3</c:v>
                </c:pt>
                <c:pt idx="1436">
                  <c:v>426.9</c:v>
                </c:pt>
                <c:pt idx="1437">
                  <c:v>428.4</c:v>
                </c:pt>
                <c:pt idx="1438">
                  <c:v>429.6</c:v>
                </c:pt>
                <c:pt idx="1439">
                  <c:v>430.2</c:v>
                </c:pt>
                <c:pt idx="1440">
                  <c:v>430.7</c:v>
                </c:pt>
                <c:pt idx="1441">
                  <c:v>431.2</c:v>
                </c:pt>
                <c:pt idx="1442">
                  <c:v>431.8</c:v>
                </c:pt>
                <c:pt idx="1443">
                  <c:v>432.3</c:v>
                </c:pt>
                <c:pt idx="1444">
                  <c:v>432.8</c:v>
                </c:pt>
                <c:pt idx="1445">
                  <c:v>433.4</c:v>
                </c:pt>
                <c:pt idx="1446">
                  <c:v>433.9</c:v>
                </c:pt>
                <c:pt idx="1447">
                  <c:v>434.4</c:v>
                </c:pt>
                <c:pt idx="1448">
                  <c:v>434.9</c:v>
                </c:pt>
                <c:pt idx="1449">
                  <c:v>435.5</c:v>
                </c:pt>
                <c:pt idx="1450">
                  <c:v>436</c:v>
                </c:pt>
                <c:pt idx="1451">
                  <c:v>436.5</c:v>
                </c:pt>
                <c:pt idx="1452">
                  <c:v>436.9</c:v>
                </c:pt>
                <c:pt idx="1453">
                  <c:v>437.2</c:v>
                </c:pt>
                <c:pt idx="1454">
                  <c:v>437.5</c:v>
                </c:pt>
                <c:pt idx="1455">
                  <c:v>437.8</c:v>
                </c:pt>
                <c:pt idx="1456">
                  <c:v>438.1</c:v>
                </c:pt>
                <c:pt idx="1457">
                  <c:v>438.5</c:v>
                </c:pt>
                <c:pt idx="1458">
                  <c:v>438.8</c:v>
                </c:pt>
                <c:pt idx="1459">
                  <c:v>439.1</c:v>
                </c:pt>
                <c:pt idx="1460">
                  <c:v>439.4</c:v>
                </c:pt>
                <c:pt idx="1461">
                  <c:v>439.7</c:v>
                </c:pt>
                <c:pt idx="1462">
                  <c:v>440</c:v>
                </c:pt>
                <c:pt idx="1463">
                  <c:v>440.3</c:v>
                </c:pt>
                <c:pt idx="1464">
                  <c:v>440.6</c:v>
                </c:pt>
                <c:pt idx="1465">
                  <c:v>440.9</c:v>
                </c:pt>
                <c:pt idx="1466">
                  <c:v>441.2</c:v>
                </c:pt>
                <c:pt idx="1467">
                  <c:v>441.5</c:v>
                </c:pt>
                <c:pt idx="1468">
                  <c:v>441.8</c:v>
                </c:pt>
                <c:pt idx="1469">
                  <c:v>442.1</c:v>
                </c:pt>
                <c:pt idx="1470">
                  <c:v>442.4</c:v>
                </c:pt>
                <c:pt idx="1471">
                  <c:v>442.7</c:v>
                </c:pt>
                <c:pt idx="1472">
                  <c:v>443</c:v>
                </c:pt>
                <c:pt idx="1473">
                  <c:v>443.3</c:v>
                </c:pt>
                <c:pt idx="1474">
                  <c:v>443.6</c:v>
                </c:pt>
                <c:pt idx="1475">
                  <c:v>443.9</c:v>
                </c:pt>
                <c:pt idx="1476">
                  <c:v>444.2</c:v>
                </c:pt>
                <c:pt idx="1477">
                  <c:v>444.5</c:v>
                </c:pt>
                <c:pt idx="1478">
                  <c:v>444.8</c:v>
                </c:pt>
                <c:pt idx="1479">
                  <c:v>445.1</c:v>
                </c:pt>
                <c:pt idx="1480">
                  <c:v>445.3</c:v>
                </c:pt>
                <c:pt idx="1481">
                  <c:v>445.6</c:v>
                </c:pt>
                <c:pt idx="1482">
                  <c:v>445.9</c:v>
                </c:pt>
                <c:pt idx="1483">
                  <c:v>446.2</c:v>
                </c:pt>
                <c:pt idx="1484">
                  <c:v>446.4</c:v>
                </c:pt>
                <c:pt idx="1485">
                  <c:v>446.7</c:v>
                </c:pt>
                <c:pt idx="1486">
                  <c:v>447</c:v>
                </c:pt>
                <c:pt idx="1487">
                  <c:v>447.3</c:v>
                </c:pt>
                <c:pt idx="1488">
                  <c:v>447.6</c:v>
                </c:pt>
                <c:pt idx="1489">
                  <c:v>447.8</c:v>
                </c:pt>
                <c:pt idx="1490">
                  <c:v>448.1</c:v>
                </c:pt>
                <c:pt idx="1491">
                  <c:v>448.4</c:v>
                </c:pt>
                <c:pt idx="1492">
                  <c:v>448.7</c:v>
                </c:pt>
                <c:pt idx="1493">
                  <c:v>448.9</c:v>
                </c:pt>
                <c:pt idx="1494">
                  <c:v>449.2</c:v>
                </c:pt>
                <c:pt idx="1495">
                  <c:v>449.5</c:v>
                </c:pt>
                <c:pt idx="1496">
                  <c:v>449.8</c:v>
                </c:pt>
                <c:pt idx="1497">
                  <c:v>450.1</c:v>
                </c:pt>
                <c:pt idx="1498">
                  <c:v>450.3</c:v>
                </c:pt>
                <c:pt idx="1499">
                  <c:v>450.6</c:v>
                </c:pt>
                <c:pt idx="1500">
                  <c:v>450.9</c:v>
                </c:pt>
                <c:pt idx="1501">
                  <c:v>451.2</c:v>
                </c:pt>
                <c:pt idx="1502">
                  <c:v>451.5</c:v>
                </c:pt>
                <c:pt idx="1503">
                  <c:v>451.8</c:v>
                </c:pt>
                <c:pt idx="1504">
                  <c:v>452.1</c:v>
                </c:pt>
                <c:pt idx="1505">
                  <c:v>452.5</c:v>
                </c:pt>
                <c:pt idx="1506">
                  <c:v>452.8</c:v>
                </c:pt>
                <c:pt idx="1507">
                  <c:v>453.2</c:v>
                </c:pt>
                <c:pt idx="1508">
                  <c:v>453.5</c:v>
                </c:pt>
                <c:pt idx="1509">
                  <c:v>453.9</c:v>
                </c:pt>
                <c:pt idx="1510">
                  <c:v>454.2</c:v>
                </c:pt>
                <c:pt idx="1511">
                  <c:v>454.6</c:v>
                </c:pt>
                <c:pt idx="1512">
                  <c:v>454.9</c:v>
                </c:pt>
                <c:pt idx="1513">
                  <c:v>455.2</c:v>
                </c:pt>
                <c:pt idx="1514">
                  <c:v>455.6</c:v>
                </c:pt>
                <c:pt idx="1515">
                  <c:v>455.9</c:v>
                </c:pt>
                <c:pt idx="1516">
                  <c:v>456.3</c:v>
                </c:pt>
                <c:pt idx="1517">
                  <c:v>456.6</c:v>
                </c:pt>
                <c:pt idx="1518">
                  <c:v>457</c:v>
                </c:pt>
                <c:pt idx="1519">
                  <c:v>457.3</c:v>
                </c:pt>
                <c:pt idx="1520">
                  <c:v>457.7</c:v>
                </c:pt>
                <c:pt idx="1521">
                  <c:v>458</c:v>
                </c:pt>
                <c:pt idx="1522">
                  <c:v>458.3</c:v>
                </c:pt>
                <c:pt idx="1523">
                  <c:v>458.7</c:v>
                </c:pt>
                <c:pt idx="1524">
                  <c:v>461.2</c:v>
                </c:pt>
                <c:pt idx="1525">
                  <c:v>464.3</c:v>
                </c:pt>
                <c:pt idx="1526">
                  <c:v>467</c:v>
                </c:pt>
                <c:pt idx="1527">
                  <c:v>469.1</c:v>
                </c:pt>
                <c:pt idx="1528">
                  <c:v>471.3</c:v>
                </c:pt>
                <c:pt idx="1529">
                  <c:v>473.5</c:v>
                </c:pt>
                <c:pt idx="1530">
                  <c:v>474.2</c:v>
                </c:pt>
                <c:pt idx="1531">
                  <c:v>474.9</c:v>
                </c:pt>
                <c:pt idx="1532">
                  <c:v>475.6</c:v>
                </c:pt>
                <c:pt idx="1533">
                  <c:v>476.3</c:v>
                </c:pt>
                <c:pt idx="1534">
                  <c:v>477</c:v>
                </c:pt>
                <c:pt idx="1535">
                  <c:v>477.7</c:v>
                </c:pt>
                <c:pt idx="1536">
                  <c:v>478.4</c:v>
                </c:pt>
                <c:pt idx="1537">
                  <c:v>479.1</c:v>
                </c:pt>
                <c:pt idx="1538">
                  <c:v>479.8</c:v>
                </c:pt>
                <c:pt idx="1539">
                  <c:v>480.6</c:v>
                </c:pt>
                <c:pt idx="1540">
                  <c:v>481</c:v>
                </c:pt>
                <c:pt idx="1541">
                  <c:v>481.3</c:v>
                </c:pt>
                <c:pt idx="1542">
                  <c:v>481.6</c:v>
                </c:pt>
                <c:pt idx="1543">
                  <c:v>481.9</c:v>
                </c:pt>
                <c:pt idx="1544">
                  <c:v>482.2</c:v>
                </c:pt>
                <c:pt idx="1545">
                  <c:v>482.5</c:v>
                </c:pt>
                <c:pt idx="1546">
                  <c:v>482.8</c:v>
                </c:pt>
                <c:pt idx="1547">
                  <c:v>483.1</c:v>
                </c:pt>
                <c:pt idx="1548">
                  <c:v>483.4</c:v>
                </c:pt>
                <c:pt idx="1549">
                  <c:v>483.7</c:v>
                </c:pt>
                <c:pt idx="1550">
                  <c:v>484</c:v>
                </c:pt>
                <c:pt idx="1551">
                  <c:v>484.3</c:v>
                </c:pt>
                <c:pt idx="1552">
                  <c:v>484.6</c:v>
                </c:pt>
                <c:pt idx="1553">
                  <c:v>484.9</c:v>
                </c:pt>
                <c:pt idx="1554">
                  <c:v>485.2</c:v>
                </c:pt>
                <c:pt idx="1555">
                  <c:v>485.5</c:v>
                </c:pt>
                <c:pt idx="1556">
                  <c:v>485.8</c:v>
                </c:pt>
                <c:pt idx="1557">
                  <c:v>486.1</c:v>
                </c:pt>
                <c:pt idx="1558">
                  <c:v>486.4</c:v>
                </c:pt>
                <c:pt idx="1559">
                  <c:v>486.7</c:v>
                </c:pt>
                <c:pt idx="1560">
                  <c:v>487</c:v>
                </c:pt>
                <c:pt idx="1561">
                  <c:v>487.3</c:v>
                </c:pt>
                <c:pt idx="1562">
                  <c:v>487.6</c:v>
                </c:pt>
                <c:pt idx="1563">
                  <c:v>487.9</c:v>
                </c:pt>
                <c:pt idx="1564">
                  <c:v>488.2</c:v>
                </c:pt>
                <c:pt idx="1565">
                  <c:v>488.5</c:v>
                </c:pt>
                <c:pt idx="1566">
                  <c:v>488.7</c:v>
                </c:pt>
                <c:pt idx="1567">
                  <c:v>489</c:v>
                </c:pt>
                <c:pt idx="1568">
                  <c:v>489.3</c:v>
                </c:pt>
                <c:pt idx="1569">
                  <c:v>489.5</c:v>
                </c:pt>
                <c:pt idx="1570">
                  <c:v>489.8</c:v>
                </c:pt>
                <c:pt idx="1571">
                  <c:v>490.1</c:v>
                </c:pt>
                <c:pt idx="1572">
                  <c:v>490.3</c:v>
                </c:pt>
                <c:pt idx="1573">
                  <c:v>490.6</c:v>
                </c:pt>
                <c:pt idx="1574">
                  <c:v>490.9</c:v>
                </c:pt>
                <c:pt idx="1575">
                  <c:v>491.2</c:v>
                </c:pt>
                <c:pt idx="1576">
                  <c:v>491.4</c:v>
                </c:pt>
                <c:pt idx="1577">
                  <c:v>491.7</c:v>
                </c:pt>
                <c:pt idx="1578">
                  <c:v>492</c:v>
                </c:pt>
                <c:pt idx="1579">
                  <c:v>492.2</c:v>
                </c:pt>
                <c:pt idx="1580">
                  <c:v>492.5</c:v>
                </c:pt>
                <c:pt idx="1581">
                  <c:v>492.8</c:v>
                </c:pt>
                <c:pt idx="1582">
                  <c:v>493</c:v>
                </c:pt>
                <c:pt idx="1583">
                  <c:v>493.3</c:v>
                </c:pt>
                <c:pt idx="1584">
                  <c:v>493.6</c:v>
                </c:pt>
                <c:pt idx="1585">
                  <c:v>493.9</c:v>
                </c:pt>
                <c:pt idx="1586">
                  <c:v>494.1</c:v>
                </c:pt>
                <c:pt idx="1587">
                  <c:v>494.4</c:v>
                </c:pt>
                <c:pt idx="1588">
                  <c:v>494.7</c:v>
                </c:pt>
                <c:pt idx="1589">
                  <c:v>494.9</c:v>
                </c:pt>
                <c:pt idx="1590">
                  <c:v>495.2</c:v>
                </c:pt>
                <c:pt idx="1591">
                  <c:v>495.5</c:v>
                </c:pt>
                <c:pt idx="1592">
                  <c:v>495.8</c:v>
                </c:pt>
                <c:pt idx="1593">
                  <c:v>496.1</c:v>
                </c:pt>
                <c:pt idx="1594">
                  <c:v>496.4</c:v>
                </c:pt>
                <c:pt idx="1595">
                  <c:v>496.7</c:v>
                </c:pt>
                <c:pt idx="1596">
                  <c:v>497</c:v>
                </c:pt>
                <c:pt idx="1597">
                  <c:v>497.3</c:v>
                </c:pt>
                <c:pt idx="1598">
                  <c:v>497.6</c:v>
                </c:pt>
                <c:pt idx="1599">
                  <c:v>497.9</c:v>
                </c:pt>
                <c:pt idx="1600">
                  <c:v>498.3</c:v>
                </c:pt>
                <c:pt idx="1601">
                  <c:v>498.6</c:v>
                </c:pt>
                <c:pt idx="1602">
                  <c:v>498.9</c:v>
                </c:pt>
                <c:pt idx="1603">
                  <c:v>499.2</c:v>
                </c:pt>
                <c:pt idx="1604">
                  <c:v>499.5</c:v>
                </c:pt>
                <c:pt idx="1605">
                  <c:v>499.8</c:v>
                </c:pt>
                <c:pt idx="1606">
                  <c:v>500.1</c:v>
                </c:pt>
                <c:pt idx="1607">
                  <c:v>500.4</c:v>
                </c:pt>
                <c:pt idx="1608">
                  <c:v>500.7</c:v>
                </c:pt>
                <c:pt idx="1609">
                  <c:v>501</c:v>
                </c:pt>
                <c:pt idx="1610">
                  <c:v>501.3</c:v>
                </c:pt>
                <c:pt idx="1611">
                  <c:v>501.6</c:v>
                </c:pt>
                <c:pt idx="1612">
                  <c:v>502</c:v>
                </c:pt>
                <c:pt idx="1613">
                  <c:v>502.3</c:v>
                </c:pt>
                <c:pt idx="1614">
                  <c:v>502.6</c:v>
                </c:pt>
                <c:pt idx="1615">
                  <c:v>502.9</c:v>
                </c:pt>
                <c:pt idx="1616">
                  <c:v>504</c:v>
                </c:pt>
                <c:pt idx="1617">
                  <c:v>505.1</c:v>
                </c:pt>
                <c:pt idx="1618">
                  <c:v>506.2</c:v>
                </c:pt>
                <c:pt idx="1619">
                  <c:v>507.4</c:v>
                </c:pt>
                <c:pt idx="1620">
                  <c:v>508.5</c:v>
                </c:pt>
                <c:pt idx="1621">
                  <c:v>509.7</c:v>
                </c:pt>
                <c:pt idx="1622">
                  <c:v>511.9</c:v>
                </c:pt>
                <c:pt idx="1623">
                  <c:v>515.5</c:v>
                </c:pt>
                <c:pt idx="1624">
                  <c:v>518</c:v>
                </c:pt>
                <c:pt idx="1625">
                  <c:v>518.6</c:v>
                </c:pt>
                <c:pt idx="1626">
                  <c:v>519.2</c:v>
                </c:pt>
                <c:pt idx="1627">
                  <c:v>519.8</c:v>
                </c:pt>
                <c:pt idx="1628">
                  <c:v>520.4</c:v>
                </c:pt>
                <c:pt idx="1629">
                  <c:v>521</c:v>
                </c:pt>
                <c:pt idx="1630">
                  <c:v>521.7</c:v>
                </c:pt>
                <c:pt idx="1631">
                  <c:v>522.3</c:v>
                </c:pt>
                <c:pt idx="1632">
                  <c:v>522.9</c:v>
                </c:pt>
                <c:pt idx="1633">
                  <c:v>523.5</c:v>
                </c:pt>
                <c:pt idx="1634">
                  <c:v>524.1</c:v>
                </c:pt>
                <c:pt idx="1635">
                  <c:v>524.7</c:v>
                </c:pt>
                <c:pt idx="1636">
                  <c:v>525.3</c:v>
                </c:pt>
                <c:pt idx="1637">
                  <c:v>525.6</c:v>
                </c:pt>
                <c:pt idx="1638">
                  <c:v>526</c:v>
                </c:pt>
                <c:pt idx="1639">
                  <c:v>526.4</c:v>
                </c:pt>
                <c:pt idx="1640">
                  <c:v>526.8</c:v>
                </c:pt>
                <c:pt idx="1641">
                  <c:v>527.1</c:v>
                </c:pt>
                <c:pt idx="1642">
                  <c:v>527.5</c:v>
                </c:pt>
                <c:pt idx="1643">
                  <c:v>527.9</c:v>
                </c:pt>
                <c:pt idx="1644">
                  <c:v>528.3</c:v>
                </c:pt>
                <c:pt idx="1645">
                  <c:v>528.7</c:v>
                </c:pt>
                <c:pt idx="1646">
                  <c:v>529</c:v>
                </c:pt>
                <c:pt idx="1647">
                  <c:v>529.4</c:v>
                </c:pt>
                <c:pt idx="1648">
                  <c:v>529.8</c:v>
                </c:pt>
                <c:pt idx="1649">
                  <c:v>530.2</c:v>
                </c:pt>
                <c:pt idx="1650">
                  <c:v>530.5</c:v>
                </c:pt>
                <c:pt idx="1651">
                  <c:v>530.9</c:v>
                </c:pt>
                <c:pt idx="1652">
                  <c:v>531.3</c:v>
                </c:pt>
                <c:pt idx="1653">
                  <c:v>531.7</c:v>
                </c:pt>
                <c:pt idx="1654">
                  <c:v>532</c:v>
                </c:pt>
                <c:pt idx="1655">
                  <c:v>532.4</c:v>
                </c:pt>
                <c:pt idx="1656">
                  <c:v>532.7</c:v>
                </c:pt>
                <c:pt idx="1657">
                  <c:v>532.9</c:v>
                </c:pt>
                <c:pt idx="1658">
                  <c:v>533.2</c:v>
                </c:pt>
                <c:pt idx="1659">
                  <c:v>533.4</c:v>
                </c:pt>
                <c:pt idx="1660">
                  <c:v>533.6</c:v>
                </c:pt>
                <c:pt idx="1661">
                  <c:v>533.8</c:v>
                </c:pt>
                <c:pt idx="1662">
                  <c:v>534.1</c:v>
                </c:pt>
                <c:pt idx="1663">
                  <c:v>534.3</c:v>
                </c:pt>
                <c:pt idx="1664">
                  <c:v>534.5</c:v>
                </c:pt>
                <c:pt idx="1665">
                  <c:v>534.8</c:v>
                </c:pt>
                <c:pt idx="1666">
                  <c:v>535</c:v>
                </c:pt>
                <c:pt idx="1667">
                  <c:v>535.2</c:v>
                </c:pt>
                <c:pt idx="1668">
                  <c:v>535.4</c:v>
                </c:pt>
                <c:pt idx="1669">
                  <c:v>535.7</c:v>
                </c:pt>
                <c:pt idx="1670">
                  <c:v>535.9</c:v>
                </c:pt>
                <c:pt idx="1671">
                  <c:v>536.1</c:v>
                </c:pt>
                <c:pt idx="1672">
                  <c:v>536.4</c:v>
                </c:pt>
                <c:pt idx="1673">
                  <c:v>536.6</c:v>
                </c:pt>
                <c:pt idx="1674">
                  <c:v>536.8</c:v>
                </c:pt>
                <c:pt idx="1675">
                  <c:v>537.1</c:v>
                </c:pt>
                <c:pt idx="1676">
                  <c:v>537.3</c:v>
                </c:pt>
                <c:pt idx="1677">
                  <c:v>537.5</c:v>
                </c:pt>
                <c:pt idx="1678">
                  <c:v>537.7</c:v>
                </c:pt>
                <c:pt idx="1679">
                  <c:v>538</c:v>
                </c:pt>
                <c:pt idx="1680">
                  <c:v>538.2</c:v>
                </c:pt>
                <c:pt idx="1681">
                  <c:v>538.4</c:v>
                </c:pt>
                <c:pt idx="1682">
                  <c:v>538.7</c:v>
                </c:pt>
                <c:pt idx="1683">
                  <c:v>538.9</c:v>
                </c:pt>
                <c:pt idx="1684">
                  <c:v>539.1</c:v>
                </c:pt>
                <c:pt idx="1685">
                  <c:v>539.4</c:v>
                </c:pt>
                <c:pt idx="1686">
                  <c:v>539.6</c:v>
                </c:pt>
                <c:pt idx="1687">
                  <c:v>539.8</c:v>
                </c:pt>
                <c:pt idx="1688">
                  <c:v>540.1</c:v>
                </c:pt>
                <c:pt idx="1689">
                  <c:v>540.4</c:v>
                </c:pt>
                <c:pt idx="1690">
                  <c:v>540.8</c:v>
                </c:pt>
                <c:pt idx="1691">
                  <c:v>541.1</c:v>
                </c:pt>
                <c:pt idx="1692">
                  <c:v>541.5</c:v>
                </c:pt>
                <c:pt idx="1693">
                  <c:v>541.8</c:v>
                </c:pt>
                <c:pt idx="1694">
                  <c:v>542.2</c:v>
                </c:pt>
                <c:pt idx="1695">
                  <c:v>542.5</c:v>
                </c:pt>
                <c:pt idx="1696">
                  <c:v>542.9</c:v>
                </c:pt>
                <c:pt idx="1697">
                  <c:v>543.2</c:v>
                </c:pt>
                <c:pt idx="1698">
                  <c:v>543.6</c:v>
                </c:pt>
                <c:pt idx="1699">
                  <c:v>543.9</c:v>
                </c:pt>
                <c:pt idx="1700">
                  <c:v>544.3</c:v>
                </c:pt>
                <c:pt idx="1701">
                  <c:v>544.6</c:v>
                </c:pt>
                <c:pt idx="1702">
                  <c:v>545</c:v>
                </c:pt>
                <c:pt idx="1703">
                  <c:v>545.3</c:v>
                </c:pt>
                <c:pt idx="1704">
                  <c:v>545.7</c:v>
                </c:pt>
                <c:pt idx="1705">
                  <c:v>546</c:v>
                </c:pt>
                <c:pt idx="1706">
                  <c:v>546.4</c:v>
                </c:pt>
                <c:pt idx="1707">
                  <c:v>546.7</c:v>
                </c:pt>
                <c:pt idx="1708">
                  <c:v>547.1</c:v>
                </c:pt>
                <c:pt idx="1709">
                  <c:v>547.4</c:v>
                </c:pt>
                <c:pt idx="1710">
                  <c:v>548.2</c:v>
                </c:pt>
                <c:pt idx="1711">
                  <c:v>549.1</c:v>
                </c:pt>
                <c:pt idx="1712">
                  <c:v>550</c:v>
                </c:pt>
                <c:pt idx="1713">
                  <c:v>550.9</c:v>
                </c:pt>
                <c:pt idx="1714">
                  <c:v>551.8</c:v>
                </c:pt>
                <c:pt idx="1715">
                  <c:v>552.7</c:v>
                </c:pt>
                <c:pt idx="1716">
                  <c:v>553.6</c:v>
                </c:pt>
                <c:pt idx="1717">
                  <c:v>554.5</c:v>
                </c:pt>
                <c:pt idx="1718">
                  <c:v>555</c:v>
                </c:pt>
              </c:numCache>
            </c:numRef>
          </c:val>
        </c:ser>
        <c:gapWidth val="100"/>
        <c:overlap val="0"/>
        <c:axId val="59402749"/>
        <c:axId val="80417386"/>
      </c:barChart>
      <c:lineChart>
        <c:grouping val="standard"/>
        <c:varyColors val="0"/>
        <c:ser>
          <c:idx val="1"/>
          <c:order val="1"/>
          <c:tx>
            <c:strRef>
              <c:f>Production!$K$2</c:f>
              <c:strCache>
                <c:ptCount val="1"/>
                <c:pt idx="0">
                  <c:v>Flow (nML/h)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Production!$I$3:$I$1721</c:f>
              <c:strCache>
                <c:ptCount val="1719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</c:v>
                </c:pt>
                <c:pt idx="145">
                  <c:v>36.25</c:v>
                </c:pt>
                <c:pt idx="146">
                  <c:v>36.5</c:v>
                </c:pt>
                <c:pt idx="147">
                  <c:v>36.75</c:v>
                </c:pt>
                <c:pt idx="148">
                  <c:v>37</c:v>
                </c:pt>
                <c:pt idx="149">
                  <c:v>37.25</c:v>
                </c:pt>
                <c:pt idx="150">
                  <c:v>37.5</c:v>
                </c:pt>
                <c:pt idx="151">
                  <c:v>37.75</c:v>
                </c:pt>
                <c:pt idx="152">
                  <c:v>38</c:v>
                </c:pt>
                <c:pt idx="153">
                  <c:v>38.25</c:v>
                </c:pt>
                <c:pt idx="154">
                  <c:v>38.5</c:v>
                </c:pt>
                <c:pt idx="155">
                  <c:v>38.75</c:v>
                </c:pt>
                <c:pt idx="156">
                  <c:v>39</c:v>
                </c:pt>
                <c:pt idx="157">
                  <c:v>39.25</c:v>
                </c:pt>
                <c:pt idx="158">
                  <c:v>39.5</c:v>
                </c:pt>
                <c:pt idx="159">
                  <c:v>39.75</c:v>
                </c:pt>
                <c:pt idx="160">
                  <c:v>40</c:v>
                </c:pt>
                <c:pt idx="161">
                  <c:v>40.25</c:v>
                </c:pt>
                <c:pt idx="162">
                  <c:v>40.5</c:v>
                </c:pt>
                <c:pt idx="163">
                  <c:v>40.75</c:v>
                </c:pt>
                <c:pt idx="164">
                  <c:v>41</c:v>
                </c:pt>
                <c:pt idx="165">
                  <c:v>41.25</c:v>
                </c:pt>
                <c:pt idx="166">
                  <c:v>41.5</c:v>
                </c:pt>
                <c:pt idx="167">
                  <c:v>41.75</c:v>
                </c:pt>
                <c:pt idx="168">
                  <c:v>42</c:v>
                </c:pt>
                <c:pt idx="169">
                  <c:v>42.25</c:v>
                </c:pt>
                <c:pt idx="170">
                  <c:v>42.5</c:v>
                </c:pt>
                <c:pt idx="171">
                  <c:v>42.75</c:v>
                </c:pt>
                <c:pt idx="172">
                  <c:v>43</c:v>
                </c:pt>
                <c:pt idx="173">
                  <c:v>43.25</c:v>
                </c:pt>
                <c:pt idx="174">
                  <c:v>43.5</c:v>
                </c:pt>
                <c:pt idx="175">
                  <c:v>43.75</c:v>
                </c:pt>
                <c:pt idx="176">
                  <c:v>44</c:v>
                </c:pt>
                <c:pt idx="177">
                  <c:v>44.25</c:v>
                </c:pt>
                <c:pt idx="178">
                  <c:v>44.5</c:v>
                </c:pt>
                <c:pt idx="179">
                  <c:v>44.75</c:v>
                </c:pt>
                <c:pt idx="180">
                  <c:v>45</c:v>
                </c:pt>
                <c:pt idx="181">
                  <c:v>45.25</c:v>
                </c:pt>
                <c:pt idx="182">
                  <c:v>45.5</c:v>
                </c:pt>
                <c:pt idx="183">
                  <c:v>45.75</c:v>
                </c:pt>
                <c:pt idx="184">
                  <c:v>46</c:v>
                </c:pt>
                <c:pt idx="185">
                  <c:v>46.25</c:v>
                </c:pt>
                <c:pt idx="186">
                  <c:v>46.5</c:v>
                </c:pt>
                <c:pt idx="187">
                  <c:v>46.75</c:v>
                </c:pt>
                <c:pt idx="188">
                  <c:v>47</c:v>
                </c:pt>
                <c:pt idx="189">
                  <c:v>47.25</c:v>
                </c:pt>
                <c:pt idx="190">
                  <c:v>47.5</c:v>
                </c:pt>
                <c:pt idx="191">
                  <c:v>47.75</c:v>
                </c:pt>
                <c:pt idx="192">
                  <c:v>48</c:v>
                </c:pt>
                <c:pt idx="193">
                  <c:v>48.25</c:v>
                </c:pt>
                <c:pt idx="194">
                  <c:v>48.5</c:v>
                </c:pt>
                <c:pt idx="195">
                  <c:v>48.75</c:v>
                </c:pt>
                <c:pt idx="196">
                  <c:v>49</c:v>
                </c:pt>
                <c:pt idx="197">
                  <c:v>49.25</c:v>
                </c:pt>
                <c:pt idx="198">
                  <c:v>49.5</c:v>
                </c:pt>
                <c:pt idx="199">
                  <c:v>49.75</c:v>
                </c:pt>
                <c:pt idx="200">
                  <c:v>50</c:v>
                </c:pt>
                <c:pt idx="201">
                  <c:v>50.25</c:v>
                </c:pt>
                <c:pt idx="202">
                  <c:v>50.5</c:v>
                </c:pt>
                <c:pt idx="203">
                  <c:v>50.75</c:v>
                </c:pt>
                <c:pt idx="204">
                  <c:v>51</c:v>
                </c:pt>
                <c:pt idx="205">
                  <c:v>51.25</c:v>
                </c:pt>
                <c:pt idx="206">
                  <c:v>51.5</c:v>
                </c:pt>
                <c:pt idx="207">
                  <c:v>51.75</c:v>
                </c:pt>
                <c:pt idx="208">
                  <c:v>52</c:v>
                </c:pt>
                <c:pt idx="209">
                  <c:v>52.25</c:v>
                </c:pt>
                <c:pt idx="210">
                  <c:v>52.5</c:v>
                </c:pt>
                <c:pt idx="211">
                  <c:v>52.75</c:v>
                </c:pt>
                <c:pt idx="212">
                  <c:v>53</c:v>
                </c:pt>
                <c:pt idx="213">
                  <c:v>53.25</c:v>
                </c:pt>
                <c:pt idx="214">
                  <c:v>53.5</c:v>
                </c:pt>
                <c:pt idx="215">
                  <c:v>53.75</c:v>
                </c:pt>
                <c:pt idx="216">
                  <c:v>54</c:v>
                </c:pt>
                <c:pt idx="217">
                  <c:v>54.25</c:v>
                </c:pt>
                <c:pt idx="218">
                  <c:v>54.5</c:v>
                </c:pt>
                <c:pt idx="219">
                  <c:v>54.75</c:v>
                </c:pt>
                <c:pt idx="220">
                  <c:v>55</c:v>
                </c:pt>
                <c:pt idx="221">
                  <c:v>55.25</c:v>
                </c:pt>
                <c:pt idx="222">
                  <c:v>55.5</c:v>
                </c:pt>
                <c:pt idx="223">
                  <c:v>55.75</c:v>
                </c:pt>
                <c:pt idx="224">
                  <c:v>56</c:v>
                </c:pt>
                <c:pt idx="225">
                  <c:v>56.25</c:v>
                </c:pt>
                <c:pt idx="226">
                  <c:v>56.5</c:v>
                </c:pt>
                <c:pt idx="227">
                  <c:v>56.75</c:v>
                </c:pt>
                <c:pt idx="228">
                  <c:v>57</c:v>
                </c:pt>
                <c:pt idx="229">
                  <c:v>57.25</c:v>
                </c:pt>
                <c:pt idx="230">
                  <c:v>57.5</c:v>
                </c:pt>
                <c:pt idx="231">
                  <c:v>57.75</c:v>
                </c:pt>
                <c:pt idx="232">
                  <c:v>58</c:v>
                </c:pt>
                <c:pt idx="233">
                  <c:v>58.25</c:v>
                </c:pt>
                <c:pt idx="234">
                  <c:v>58.5</c:v>
                </c:pt>
                <c:pt idx="235">
                  <c:v>58.75</c:v>
                </c:pt>
                <c:pt idx="236">
                  <c:v>59</c:v>
                </c:pt>
                <c:pt idx="237">
                  <c:v>59.25</c:v>
                </c:pt>
                <c:pt idx="238">
                  <c:v>59.5</c:v>
                </c:pt>
                <c:pt idx="239">
                  <c:v>59.75</c:v>
                </c:pt>
                <c:pt idx="240">
                  <c:v>60</c:v>
                </c:pt>
                <c:pt idx="241">
                  <c:v>60.25</c:v>
                </c:pt>
                <c:pt idx="242">
                  <c:v>60.5</c:v>
                </c:pt>
                <c:pt idx="243">
                  <c:v>60.75</c:v>
                </c:pt>
                <c:pt idx="244">
                  <c:v>61</c:v>
                </c:pt>
                <c:pt idx="245">
                  <c:v>61.25</c:v>
                </c:pt>
                <c:pt idx="246">
                  <c:v>61.5</c:v>
                </c:pt>
                <c:pt idx="247">
                  <c:v>61.75</c:v>
                </c:pt>
                <c:pt idx="248">
                  <c:v>62</c:v>
                </c:pt>
                <c:pt idx="249">
                  <c:v>62.25</c:v>
                </c:pt>
                <c:pt idx="250">
                  <c:v>62.5</c:v>
                </c:pt>
                <c:pt idx="251">
                  <c:v>62.75</c:v>
                </c:pt>
                <c:pt idx="252">
                  <c:v>63</c:v>
                </c:pt>
                <c:pt idx="253">
                  <c:v>63.25</c:v>
                </c:pt>
                <c:pt idx="254">
                  <c:v>63.5</c:v>
                </c:pt>
                <c:pt idx="255">
                  <c:v>63.75</c:v>
                </c:pt>
                <c:pt idx="256">
                  <c:v>64</c:v>
                </c:pt>
                <c:pt idx="257">
                  <c:v>64.25</c:v>
                </c:pt>
                <c:pt idx="258">
                  <c:v>64.5</c:v>
                </c:pt>
                <c:pt idx="259">
                  <c:v>64.75</c:v>
                </c:pt>
                <c:pt idx="260">
                  <c:v>65</c:v>
                </c:pt>
                <c:pt idx="261">
                  <c:v>65.25</c:v>
                </c:pt>
                <c:pt idx="262">
                  <c:v>65.5</c:v>
                </c:pt>
                <c:pt idx="263">
                  <c:v>65.75</c:v>
                </c:pt>
                <c:pt idx="264">
                  <c:v>66</c:v>
                </c:pt>
                <c:pt idx="265">
                  <c:v>66.25</c:v>
                </c:pt>
                <c:pt idx="266">
                  <c:v>66.5</c:v>
                </c:pt>
                <c:pt idx="267">
                  <c:v>66.75</c:v>
                </c:pt>
                <c:pt idx="268">
                  <c:v>67</c:v>
                </c:pt>
                <c:pt idx="269">
                  <c:v>67.25</c:v>
                </c:pt>
                <c:pt idx="270">
                  <c:v>67.5</c:v>
                </c:pt>
                <c:pt idx="271">
                  <c:v>67.75</c:v>
                </c:pt>
                <c:pt idx="272">
                  <c:v>68</c:v>
                </c:pt>
                <c:pt idx="273">
                  <c:v>68.25</c:v>
                </c:pt>
                <c:pt idx="274">
                  <c:v>68.5</c:v>
                </c:pt>
                <c:pt idx="275">
                  <c:v>68.75</c:v>
                </c:pt>
                <c:pt idx="276">
                  <c:v>69</c:v>
                </c:pt>
                <c:pt idx="277">
                  <c:v>69.25</c:v>
                </c:pt>
                <c:pt idx="278">
                  <c:v>69.5</c:v>
                </c:pt>
                <c:pt idx="279">
                  <c:v>69.75</c:v>
                </c:pt>
                <c:pt idx="280">
                  <c:v>70</c:v>
                </c:pt>
                <c:pt idx="281">
                  <c:v>70.25</c:v>
                </c:pt>
                <c:pt idx="282">
                  <c:v>70.5</c:v>
                </c:pt>
                <c:pt idx="283">
                  <c:v>70.75</c:v>
                </c:pt>
                <c:pt idx="284">
                  <c:v>71</c:v>
                </c:pt>
                <c:pt idx="285">
                  <c:v>71.25</c:v>
                </c:pt>
                <c:pt idx="286">
                  <c:v>71.5</c:v>
                </c:pt>
                <c:pt idx="287">
                  <c:v>71.75</c:v>
                </c:pt>
                <c:pt idx="288">
                  <c:v>72</c:v>
                </c:pt>
                <c:pt idx="289">
                  <c:v>72.25</c:v>
                </c:pt>
                <c:pt idx="290">
                  <c:v>72.5</c:v>
                </c:pt>
                <c:pt idx="291">
                  <c:v>72.75</c:v>
                </c:pt>
                <c:pt idx="292">
                  <c:v>73</c:v>
                </c:pt>
                <c:pt idx="293">
                  <c:v>73.25</c:v>
                </c:pt>
                <c:pt idx="294">
                  <c:v>73.5</c:v>
                </c:pt>
                <c:pt idx="295">
                  <c:v>73.75</c:v>
                </c:pt>
                <c:pt idx="296">
                  <c:v>74</c:v>
                </c:pt>
                <c:pt idx="297">
                  <c:v>74.25</c:v>
                </c:pt>
                <c:pt idx="298">
                  <c:v>74.5</c:v>
                </c:pt>
                <c:pt idx="299">
                  <c:v>74.75</c:v>
                </c:pt>
                <c:pt idx="300">
                  <c:v>75</c:v>
                </c:pt>
                <c:pt idx="301">
                  <c:v>75.25</c:v>
                </c:pt>
                <c:pt idx="302">
                  <c:v>75.5</c:v>
                </c:pt>
                <c:pt idx="303">
                  <c:v>75.75</c:v>
                </c:pt>
                <c:pt idx="304">
                  <c:v>76</c:v>
                </c:pt>
                <c:pt idx="305">
                  <c:v>76.25</c:v>
                </c:pt>
                <c:pt idx="306">
                  <c:v>76.5</c:v>
                </c:pt>
                <c:pt idx="307">
                  <c:v>76.75</c:v>
                </c:pt>
                <c:pt idx="308">
                  <c:v>77</c:v>
                </c:pt>
                <c:pt idx="309">
                  <c:v>77.25</c:v>
                </c:pt>
                <c:pt idx="310">
                  <c:v>77.5</c:v>
                </c:pt>
                <c:pt idx="311">
                  <c:v>77.75</c:v>
                </c:pt>
                <c:pt idx="312">
                  <c:v>78</c:v>
                </c:pt>
                <c:pt idx="313">
                  <c:v>78.25</c:v>
                </c:pt>
                <c:pt idx="314">
                  <c:v>78.5</c:v>
                </c:pt>
                <c:pt idx="315">
                  <c:v>78.75</c:v>
                </c:pt>
                <c:pt idx="316">
                  <c:v>79</c:v>
                </c:pt>
                <c:pt idx="317">
                  <c:v>79.25</c:v>
                </c:pt>
                <c:pt idx="318">
                  <c:v>79.5</c:v>
                </c:pt>
                <c:pt idx="319">
                  <c:v>79.75</c:v>
                </c:pt>
                <c:pt idx="320">
                  <c:v>80</c:v>
                </c:pt>
                <c:pt idx="321">
                  <c:v>80.25</c:v>
                </c:pt>
                <c:pt idx="322">
                  <c:v>80.5</c:v>
                </c:pt>
                <c:pt idx="323">
                  <c:v>80.75</c:v>
                </c:pt>
                <c:pt idx="324">
                  <c:v>81</c:v>
                </c:pt>
                <c:pt idx="325">
                  <c:v>81.25</c:v>
                </c:pt>
                <c:pt idx="326">
                  <c:v>81.5</c:v>
                </c:pt>
                <c:pt idx="327">
                  <c:v>81.75</c:v>
                </c:pt>
                <c:pt idx="328">
                  <c:v>82</c:v>
                </c:pt>
                <c:pt idx="329">
                  <c:v>82.25</c:v>
                </c:pt>
                <c:pt idx="330">
                  <c:v>82.5</c:v>
                </c:pt>
                <c:pt idx="331">
                  <c:v>82.75</c:v>
                </c:pt>
                <c:pt idx="332">
                  <c:v>83</c:v>
                </c:pt>
                <c:pt idx="333">
                  <c:v>83.25</c:v>
                </c:pt>
                <c:pt idx="334">
                  <c:v>83.5</c:v>
                </c:pt>
                <c:pt idx="335">
                  <c:v>83.75</c:v>
                </c:pt>
                <c:pt idx="336">
                  <c:v>84</c:v>
                </c:pt>
                <c:pt idx="337">
                  <c:v>84.25</c:v>
                </c:pt>
                <c:pt idx="338">
                  <c:v>84.5</c:v>
                </c:pt>
                <c:pt idx="339">
                  <c:v>84.75</c:v>
                </c:pt>
                <c:pt idx="340">
                  <c:v>85</c:v>
                </c:pt>
                <c:pt idx="341">
                  <c:v>85.25</c:v>
                </c:pt>
                <c:pt idx="342">
                  <c:v>85.5</c:v>
                </c:pt>
                <c:pt idx="343">
                  <c:v>85.75</c:v>
                </c:pt>
                <c:pt idx="344">
                  <c:v>86</c:v>
                </c:pt>
                <c:pt idx="345">
                  <c:v>86.25</c:v>
                </c:pt>
                <c:pt idx="346">
                  <c:v>86.5</c:v>
                </c:pt>
                <c:pt idx="347">
                  <c:v>86.75</c:v>
                </c:pt>
                <c:pt idx="348">
                  <c:v>87</c:v>
                </c:pt>
                <c:pt idx="349">
                  <c:v>87.25</c:v>
                </c:pt>
                <c:pt idx="350">
                  <c:v>87.5</c:v>
                </c:pt>
                <c:pt idx="351">
                  <c:v>87.75</c:v>
                </c:pt>
                <c:pt idx="352">
                  <c:v>88</c:v>
                </c:pt>
                <c:pt idx="353">
                  <c:v>88.25</c:v>
                </c:pt>
                <c:pt idx="354">
                  <c:v>88.5</c:v>
                </c:pt>
                <c:pt idx="355">
                  <c:v>88.75</c:v>
                </c:pt>
                <c:pt idx="356">
                  <c:v>89</c:v>
                </c:pt>
                <c:pt idx="357">
                  <c:v>89.25</c:v>
                </c:pt>
                <c:pt idx="358">
                  <c:v>89.5</c:v>
                </c:pt>
                <c:pt idx="359">
                  <c:v>89.75</c:v>
                </c:pt>
                <c:pt idx="360">
                  <c:v>90</c:v>
                </c:pt>
                <c:pt idx="361">
                  <c:v>90.25</c:v>
                </c:pt>
                <c:pt idx="362">
                  <c:v>90.5</c:v>
                </c:pt>
                <c:pt idx="363">
                  <c:v>90.75</c:v>
                </c:pt>
                <c:pt idx="364">
                  <c:v>91</c:v>
                </c:pt>
                <c:pt idx="365">
                  <c:v>91.25</c:v>
                </c:pt>
                <c:pt idx="366">
                  <c:v>91.5</c:v>
                </c:pt>
                <c:pt idx="367">
                  <c:v>91.75</c:v>
                </c:pt>
                <c:pt idx="368">
                  <c:v>92</c:v>
                </c:pt>
                <c:pt idx="369">
                  <c:v>92.25</c:v>
                </c:pt>
                <c:pt idx="370">
                  <c:v>92.5</c:v>
                </c:pt>
                <c:pt idx="371">
                  <c:v>92.75</c:v>
                </c:pt>
                <c:pt idx="372">
                  <c:v>93</c:v>
                </c:pt>
                <c:pt idx="373">
                  <c:v>93.25</c:v>
                </c:pt>
                <c:pt idx="374">
                  <c:v>93.5</c:v>
                </c:pt>
                <c:pt idx="375">
                  <c:v>93.75</c:v>
                </c:pt>
                <c:pt idx="376">
                  <c:v>94</c:v>
                </c:pt>
                <c:pt idx="377">
                  <c:v>94.25</c:v>
                </c:pt>
                <c:pt idx="378">
                  <c:v>94.5</c:v>
                </c:pt>
                <c:pt idx="379">
                  <c:v>94.75</c:v>
                </c:pt>
                <c:pt idx="380">
                  <c:v>95</c:v>
                </c:pt>
                <c:pt idx="381">
                  <c:v>95.25</c:v>
                </c:pt>
                <c:pt idx="382">
                  <c:v>95.5</c:v>
                </c:pt>
                <c:pt idx="383">
                  <c:v>95.75</c:v>
                </c:pt>
                <c:pt idx="384">
                  <c:v>96</c:v>
                </c:pt>
                <c:pt idx="385">
                  <c:v>96.25</c:v>
                </c:pt>
                <c:pt idx="386">
                  <c:v>96.5</c:v>
                </c:pt>
                <c:pt idx="387">
                  <c:v>96.75</c:v>
                </c:pt>
                <c:pt idx="388">
                  <c:v>97</c:v>
                </c:pt>
                <c:pt idx="389">
                  <c:v>97.25</c:v>
                </c:pt>
                <c:pt idx="390">
                  <c:v>97.5</c:v>
                </c:pt>
                <c:pt idx="391">
                  <c:v>97.75</c:v>
                </c:pt>
                <c:pt idx="392">
                  <c:v>98</c:v>
                </c:pt>
                <c:pt idx="393">
                  <c:v>98.25</c:v>
                </c:pt>
                <c:pt idx="394">
                  <c:v>98.5</c:v>
                </c:pt>
                <c:pt idx="395">
                  <c:v>98.75</c:v>
                </c:pt>
                <c:pt idx="396">
                  <c:v>99</c:v>
                </c:pt>
                <c:pt idx="397">
                  <c:v>99.25</c:v>
                </c:pt>
                <c:pt idx="398">
                  <c:v>99.5</c:v>
                </c:pt>
                <c:pt idx="399">
                  <c:v>99.75</c:v>
                </c:pt>
                <c:pt idx="400">
                  <c:v>100</c:v>
                </c:pt>
                <c:pt idx="401">
                  <c:v>100.25</c:v>
                </c:pt>
                <c:pt idx="402">
                  <c:v>100.5</c:v>
                </c:pt>
                <c:pt idx="403">
                  <c:v>100.75</c:v>
                </c:pt>
                <c:pt idx="404">
                  <c:v>101</c:v>
                </c:pt>
                <c:pt idx="405">
                  <c:v>101.25</c:v>
                </c:pt>
                <c:pt idx="406">
                  <c:v>101.5</c:v>
                </c:pt>
                <c:pt idx="407">
                  <c:v>101.75</c:v>
                </c:pt>
                <c:pt idx="408">
                  <c:v>102</c:v>
                </c:pt>
                <c:pt idx="409">
                  <c:v>102.25</c:v>
                </c:pt>
                <c:pt idx="410">
                  <c:v>102.5</c:v>
                </c:pt>
                <c:pt idx="411">
                  <c:v>102.75</c:v>
                </c:pt>
                <c:pt idx="412">
                  <c:v>103</c:v>
                </c:pt>
                <c:pt idx="413">
                  <c:v>103.25</c:v>
                </c:pt>
                <c:pt idx="414">
                  <c:v>103.5</c:v>
                </c:pt>
                <c:pt idx="415">
                  <c:v>103.75</c:v>
                </c:pt>
                <c:pt idx="416">
                  <c:v>104</c:v>
                </c:pt>
                <c:pt idx="417">
                  <c:v>104.25</c:v>
                </c:pt>
                <c:pt idx="418">
                  <c:v>104.5</c:v>
                </c:pt>
                <c:pt idx="419">
                  <c:v>104.75</c:v>
                </c:pt>
                <c:pt idx="420">
                  <c:v>105</c:v>
                </c:pt>
                <c:pt idx="421">
                  <c:v>105.25</c:v>
                </c:pt>
                <c:pt idx="422">
                  <c:v>105.5</c:v>
                </c:pt>
                <c:pt idx="423">
                  <c:v>105.75</c:v>
                </c:pt>
                <c:pt idx="424">
                  <c:v>106</c:v>
                </c:pt>
                <c:pt idx="425">
                  <c:v>106.25</c:v>
                </c:pt>
                <c:pt idx="426">
                  <c:v>106.5</c:v>
                </c:pt>
                <c:pt idx="427">
                  <c:v>106.75</c:v>
                </c:pt>
                <c:pt idx="428">
                  <c:v>107</c:v>
                </c:pt>
                <c:pt idx="429">
                  <c:v>107.25</c:v>
                </c:pt>
                <c:pt idx="430">
                  <c:v>107.5</c:v>
                </c:pt>
                <c:pt idx="431">
                  <c:v>107.75</c:v>
                </c:pt>
                <c:pt idx="432">
                  <c:v>108</c:v>
                </c:pt>
                <c:pt idx="433">
                  <c:v>108.25</c:v>
                </c:pt>
                <c:pt idx="434">
                  <c:v>108.5</c:v>
                </c:pt>
                <c:pt idx="435">
                  <c:v>108.75</c:v>
                </c:pt>
                <c:pt idx="436">
                  <c:v>109</c:v>
                </c:pt>
                <c:pt idx="437">
                  <c:v>109.25</c:v>
                </c:pt>
                <c:pt idx="438">
                  <c:v>109.5</c:v>
                </c:pt>
                <c:pt idx="439">
                  <c:v>109.75</c:v>
                </c:pt>
                <c:pt idx="440">
                  <c:v>110</c:v>
                </c:pt>
                <c:pt idx="441">
                  <c:v>110.25</c:v>
                </c:pt>
                <c:pt idx="442">
                  <c:v>110.5</c:v>
                </c:pt>
                <c:pt idx="443">
                  <c:v>110.75</c:v>
                </c:pt>
                <c:pt idx="444">
                  <c:v>111</c:v>
                </c:pt>
                <c:pt idx="445">
                  <c:v>111.25</c:v>
                </c:pt>
                <c:pt idx="446">
                  <c:v>111.5</c:v>
                </c:pt>
                <c:pt idx="447">
                  <c:v>111.75</c:v>
                </c:pt>
                <c:pt idx="448">
                  <c:v>112</c:v>
                </c:pt>
                <c:pt idx="449">
                  <c:v>112.25</c:v>
                </c:pt>
                <c:pt idx="450">
                  <c:v>112.5</c:v>
                </c:pt>
                <c:pt idx="451">
                  <c:v>112.75</c:v>
                </c:pt>
                <c:pt idx="452">
                  <c:v>113</c:v>
                </c:pt>
                <c:pt idx="453">
                  <c:v>113.25</c:v>
                </c:pt>
                <c:pt idx="454">
                  <c:v>113.5</c:v>
                </c:pt>
                <c:pt idx="455">
                  <c:v>113.75</c:v>
                </c:pt>
                <c:pt idx="456">
                  <c:v>114</c:v>
                </c:pt>
                <c:pt idx="457">
                  <c:v>114.25</c:v>
                </c:pt>
                <c:pt idx="458">
                  <c:v>114.5</c:v>
                </c:pt>
                <c:pt idx="459">
                  <c:v>114.75</c:v>
                </c:pt>
                <c:pt idx="460">
                  <c:v>115</c:v>
                </c:pt>
                <c:pt idx="461">
                  <c:v>115.25</c:v>
                </c:pt>
                <c:pt idx="462">
                  <c:v>115.5</c:v>
                </c:pt>
                <c:pt idx="463">
                  <c:v>115.75</c:v>
                </c:pt>
                <c:pt idx="464">
                  <c:v>116</c:v>
                </c:pt>
                <c:pt idx="465">
                  <c:v>116.25</c:v>
                </c:pt>
                <c:pt idx="466">
                  <c:v>116.5</c:v>
                </c:pt>
                <c:pt idx="467">
                  <c:v>116.75</c:v>
                </c:pt>
                <c:pt idx="468">
                  <c:v>117</c:v>
                </c:pt>
                <c:pt idx="469">
                  <c:v>117.25</c:v>
                </c:pt>
                <c:pt idx="470">
                  <c:v>117.5</c:v>
                </c:pt>
                <c:pt idx="471">
                  <c:v>117.75</c:v>
                </c:pt>
                <c:pt idx="472">
                  <c:v>118</c:v>
                </c:pt>
                <c:pt idx="473">
                  <c:v>118.25</c:v>
                </c:pt>
                <c:pt idx="474">
                  <c:v>118.5</c:v>
                </c:pt>
                <c:pt idx="475">
                  <c:v>118.75</c:v>
                </c:pt>
                <c:pt idx="476">
                  <c:v>119</c:v>
                </c:pt>
                <c:pt idx="477">
                  <c:v>119.25</c:v>
                </c:pt>
                <c:pt idx="478">
                  <c:v>119.5</c:v>
                </c:pt>
                <c:pt idx="479">
                  <c:v>119.75</c:v>
                </c:pt>
                <c:pt idx="480">
                  <c:v>120</c:v>
                </c:pt>
                <c:pt idx="481">
                  <c:v>120.25</c:v>
                </c:pt>
                <c:pt idx="482">
                  <c:v>120.5</c:v>
                </c:pt>
                <c:pt idx="483">
                  <c:v>120.75</c:v>
                </c:pt>
                <c:pt idx="484">
                  <c:v>121</c:v>
                </c:pt>
                <c:pt idx="485">
                  <c:v>121.25</c:v>
                </c:pt>
                <c:pt idx="486">
                  <c:v>121.5</c:v>
                </c:pt>
                <c:pt idx="487">
                  <c:v>121.75</c:v>
                </c:pt>
                <c:pt idx="488">
                  <c:v>122</c:v>
                </c:pt>
                <c:pt idx="489">
                  <c:v>122.25</c:v>
                </c:pt>
                <c:pt idx="490">
                  <c:v>122.5</c:v>
                </c:pt>
                <c:pt idx="491">
                  <c:v>122.75</c:v>
                </c:pt>
                <c:pt idx="492">
                  <c:v>123</c:v>
                </c:pt>
                <c:pt idx="493">
                  <c:v>123.25</c:v>
                </c:pt>
                <c:pt idx="494">
                  <c:v>123.5</c:v>
                </c:pt>
                <c:pt idx="495">
                  <c:v>123.75</c:v>
                </c:pt>
                <c:pt idx="496">
                  <c:v>124</c:v>
                </c:pt>
                <c:pt idx="497">
                  <c:v>124.25</c:v>
                </c:pt>
                <c:pt idx="498">
                  <c:v>124.5</c:v>
                </c:pt>
                <c:pt idx="499">
                  <c:v>124.75</c:v>
                </c:pt>
                <c:pt idx="500">
                  <c:v>125</c:v>
                </c:pt>
                <c:pt idx="501">
                  <c:v>125.25</c:v>
                </c:pt>
                <c:pt idx="502">
                  <c:v>125.5</c:v>
                </c:pt>
                <c:pt idx="503">
                  <c:v>125.75</c:v>
                </c:pt>
                <c:pt idx="504">
                  <c:v>126</c:v>
                </c:pt>
                <c:pt idx="505">
                  <c:v>126.25</c:v>
                </c:pt>
                <c:pt idx="506">
                  <c:v>126.5</c:v>
                </c:pt>
                <c:pt idx="507">
                  <c:v>126.75</c:v>
                </c:pt>
                <c:pt idx="508">
                  <c:v>127</c:v>
                </c:pt>
                <c:pt idx="509">
                  <c:v>127.25</c:v>
                </c:pt>
                <c:pt idx="510">
                  <c:v>127.5</c:v>
                </c:pt>
                <c:pt idx="511">
                  <c:v>127.75</c:v>
                </c:pt>
                <c:pt idx="512">
                  <c:v>128</c:v>
                </c:pt>
                <c:pt idx="513">
                  <c:v>128.25</c:v>
                </c:pt>
                <c:pt idx="514">
                  <c:v>128.5</c:v>
                </c:pt>
                <c:pt idx="515">
                  <c:v>128.75</c:v>
                </c:pt>
                <c:pt idx="516">
                  <c:v>129</c:v>
                </c:pt>
                <c:pt idx="517">
                  <c:v>129.25</c:v>
                </c:pt>
                <c:pt idx="518">
                  <c:v>129.5</c:v>
                </c:pt>
                <c:pt idx="519">
                  <c:v>129.75</c:v>
                </c:pt>
                <c:pt idx="520">
                  <c:v>130</c:v>
                </c:pt>
                <c:pt idx="521">
                  <c:v>130.25</c:v>
                </c:pt>
                <c:pt idx="522">
                  <c:v>130.5</c:v>
                </c:pt>
                <c:pt idx="523">
                  <c:v>130.75</c:v>
                </c:pt>
                <c:pt idx="524">
                  <c:v>131</c:v>
                </c:pt>
                <c:pt idx="525">
                  <c:v>131.25</c:v>
                </c:pt>
                <c:pt idx="526">
                  <c:v>131.5</c:v>
                </c:pt>
                <c:pt idx="527">
                  <c:v>131.75</c:v>
                </c:pt>
                <c:pt idx="528">
                  <c:v>132</c:v>
                </c:pt>
                <c:pt idx="529">
                  <c:v>132.25</c:v>
                </c:pt>
                <c:pt idx="530">
                  <c:v>132.5</c:v>
                </c:pt>
                <c:pt idx="531">
                  <c:v>132.75</c:v>
                </c:pt>
                <c:pt idx="532">
                  <c:v>133</c:v>
                </c:pt>
                <c:pt idx="533">
                  <c:v>133.25</c:v>
                </c:pt>
                <c:pt idx="534">
                  <c:v>133.5</c:v>
                </c:pt>
                <c:pt idx="535">
                  <c:v>133.75</c:v>
                </c:pt>
                <c:pt idx="536">
                  <c:v>134</c:v>
                </c:pt>
                <c:pt idx="537">
                  <c:v>134.25</c:v>
                </c:pt>
                <c:pt idx="538">
                  <c:v>134.5</c:v>
                </c:pt>
                <c:pt idx="539">
                  <c:v>134.75</c:v>
                </c:pt>
                <c:pt idx="540">
                  <c:v>135</c:v>
                </c:pt>
                <c:pt idx="541">
                  <c:v>135.25</c:v>
                </c:pt>
                <c:pt idx="542">
                  <c:v>135.5</c:v>
                </c:pt>
                <c:pt idx="543">
                  <c:v>135.75</c:v>
                </c:pt>
                <c:pt idx="544">
                  <c:v>136</c:v>
                </c:pt>
                <c:pt idx="545">
                  <c:v>136.25</c:v>
                </c:pt>
                <c:pt idx="546">
                  <c:v>136.5</c:v>
                </c:pt>
                <c:pt idx="547">
                  <c:v>136.75</c:v>
                </c:pt>
                <c:pt idx="548">
                  <c:v>137</c:v>
                </c:pt>
                <c:pt idx="549">
                  <c:v>137.25</c:v>
                </c:pt>
                <c:pt idx="550">
                  <c:v>137.5</c:v>
                </c:pt>
                <c:pt idx="551">
                  <c:v>137.75</c:v>
                </c:pt>
                <c:pt idx="552">
                  <c:v>138</c:v>
                </c:pt>
                <c:pt idx="553">
                  <c:v>138.25</c:v>
                </c:pt>
                <c:pt idx="554">
                  <c:v>138.5</c:v>
                </c:pt>
                <c:pt idx="555">
                  <c:v>138.75</c:v>
                </c:pt>
                <c:pt idx="556">
                  <c:v>139</c:v>
                </c:pt>
                <c:pt idx="557">
                  <c:v>139.25</c:v>
                </c:pt>
                <c:pt idx="558">
                  <c:v>139.5</c:v>
                </c:pt>
                <c:pt idx="559">
                  <c:v>139.75</c:v>
                </c:pt>
                <c:pt idx="560">
                  <c:v>140</c:v>
                </c:pt>
                <c:pt idx="561">
                  <c:v>140.25</c:v>
                </c:pt>
                <c:pt idx="562">
                  <c:v>140.5</c:v>
                </c:pt>
                <c:pt idx="563">
                  <c:v>140.75</c:v>
                </c:pt>
                <c:pt idx="564">
                  <c:v>141</c:v>
                </c:pt>
                <c:pt idx="565">
                  <c:v>141.25</c:v>
                </c:pt>
                <c:pt idx="566">
                  <c:v>141.5</c:v>
                </c:pt>
                <c:pt idx="567">
                  <c:v>141.75</c:v>
                </c:pt>
                <c:pt idx="568">
                  <c:v>142</c:v>
                </c:pt>
                <c:pt idx="569">
                  <c:v>142.25</c:v>
                </c:pt>
                <c:pt idx="570">
                  <c:v>142.5</c:v>
                </c:pt>
                <c:pt idx="571">
                  <c:v>142.75</c:v>
                </c:pt>
                <c:pt idx="572">
                  <c:v>143</c:v>
                </c:pt>
                <c:pt idx="573">
                  <c:v>143.25</c:v>
                </c:pt>
                <c:pt idx="574">
                  <c:v>143.5</c:v>
                </c:pt>
                <c:pt idx="575">
                  <c:v>143.75</c:v>
                </c:pt>
                <c:pt idx="576">
                  <c:v>144</c:v>
                </c:pt>
                <c:pt idx="577">
                  <c:v>144.25</c:v>
                </c:pt>
                <c:pt idx="578">
                  <c:v>144.5</c:v>
                </c:pt>
                <c:pt idx="579">
                  <c:v>144.75</c:v>
                </c:pt>
                <c:pt idx="580">
                  <c:v>145</c:v>
                </c:pt>
                <c:pt idx="581">
                  <c:v>145.25</c:v>
                </c:pt>
                <c:pt idx="582">
                  <c:v>145.5</c:v>
                </c:pt>
                <c:pt idx="583">
                  <c:v>145.75</c:v>
                </c:pt>
                <c:pt idx="584">
                  <c:v>146</c:v>
                </c:pt>
                <c:pt idx="585">
                  <c:v>146.25</c:v>
                </c:pt>
                <c:pt idx="586">
                  <c:v>146.5</c:v>
                </c:pt>
                <c:pt idx="587">
                  <c:v>146.75</c:v>
                </c:pt>
                <c:pt idx="588">
                  <c:v>147</c:v>
                </c:pt>
                <c:pt idx="589">
                  <c:v>147.25</c:v>
                </c:pt>
                <c:pt idx="590">
                  <c:v>147.5</c:v>
                </c:pt>
                <c:pt idx="591">
                  <c:v>147.75</c:v>
                </c:pt>
                <c:pt idx="592">
                  <c:v>148</c:v>
                </c:pt>
                <c:pt idx="593">
                  <c:v>148.25</c:v>
                </c:pt>
                <c:pt idx="594">
                  <c:v>148.5</c:v>
                </c:pt>
                <c:pt idx="595">
                  <c:v>148.75</c:v>
                </c:pt>
                <c:pt idx="596">
                  <c:v>149</c:v>
                </c:pt>
                <c:pt idx="597">
                  <c:v>149.25</c:v>
                </c:pt>
                <c:pt idx="598">
                  <c:v>149.5</c:v>
                </c:pt>
                <c:pt idx="599">
                  <c:v>149.75</c:v>
                </c:pt>
                <c:pt idx="600">
                  <c:v>150</c:v>
                </c:pt>
                <c:pt idx="601">
                  <c:v>150.25</c:v>
                </c:pt>
                <c:pt idx="602">
                  <c:v>150.5</c:v>
                </c:pt>
                <c:pt idx="603">
                  <c:v>150.75</c:v>
                </c:pt>
                <c:pt idx="604">
                  <c:v>151</c:v>
                </c:pt>
                <c:pt idx="605">
                  <c:v>151.25</c:v>
                </c:pt>
                <c:pt idx="606">
                  <c:v>151.5</c:v>
                </c:pt>
                <c:pt idx="607">
                  <c:v>151.75</c:v>
                </c:pt>
                <c:pt idx="608">
                  <c:v>152</c:v>
                </c:pt>
                <c:pt idx="609">
                  <c:v>152.25</c:v>
                </c:pt>
                <c:pt idx="610">
                  <c:v>152.5</c:v>
                </c:pt>
                <c:pt idx="611">
                  <c:v>152.75</c:v>
                </c:pt>
                <c:pt idx="612">
                  <c:v>153</c:v>
                </c:pt>
                <c:pt idx="613">
                  <c:v>153.25</c:v>
                </c:pt>
                <c:pt idx="614">
                  <c:v>153.5</c:v>
                </c:pt>
                <c:pt idx="615">
                  <c:v>153.75</c:v>
                </c:pt>
                <c:pt idx="616">
                  <c:v>154</c:v>
                </c:pt>
                <c:pt idx="617">
                  <c:v>154.25</c:v>
                </c:pt>
                <c:pt idx="618">
                  <c:v>154.5</c:v>
                </c:pt>
                <c:pt idx="619">
                  <c:v>154.75</c:v>
                </c:pt>
                <c:pt idx="620">
                  <c:v>155</c:v>
                </c:pt>
                <c:pt idx="621">
                  <c:v>155.25</c:v>
                </c:pt>
                <c:pt idx="622">
                  <c:v>155.5</c:v>
                </c:pt>
                <c:pt idx="623">
                  <c:v>155.75</c:v>
                </c:pt>
                <c:pt idx="624">
                  <c:v>156</c:v>
                </c:pt>
                <c:pt idx="625">
                  <c:v>156.25</c:v>
                </c:pt>
                <c:pt idx="626">
                  <c:v>156.5</c:v>
                </c:pt>
                <c:pt idx="627">
                  <c:v>156.75</c:v>
                </c:pt>
                <c:pt idx="628">
                  <c:v>157</c:v>
                </c:pt>
                <c:pt idx="629">
                  <c:v>157.25</c:v>
                </c:pt>
                <c:pt idx="630">
                  <c:v>157.5</c:v>
                </c:pt>
                <c:pt idx="631">
                  <c:v>157.75</c:v>
                </c:pt>
                <c:pt idx="632">
                  <c:v>158</c:v>
                </c:pt>
                <c:pt idx="633">
                  <c:v>158.25</c:v>
                </c:pt>
                <c:pt idx="634">
                  <c:v>158.5</c:v>
                </c:pt>
                <c:pt idx="635">
                  <c:v>158.75</c:v>
                </c:pt>
                <c:pt idx="636">
                  <c:v>159</c:v>
                </c:pt>
                <c:pt idx="637">
                  <c:v>159.25</c:v>
                </c:pt>
                <c:pt idx="638">
                  <c:v>159.5</c:v>
                </c:pt>
                <c:pt idx="639">
                  <c:v>159.75</c:v>
                </c:pt>
                <c:pt idx="640">
                  <c:v>160</c:v>
                </c:pt>
                <c:pt idx="641">
                  <c:v>160.25</c:v>
                </c:pt>
                <c:pt idx="642">
                  <c:v>160.5</c:v>
                </c:pt>
                <c:pt idx="643">
                  <c:v>160.75</c:v>
                </c:pt>
                <c:pt idx="644">
                  <c:v>161</c:v>
                </c:pt>
                <c:pt idx="645">
                  <c:v>161.25</c:v>
                </c:pt>
                <c:pt idx="646">
                  <c:v>161.5</c:v>
                </c:pt>
                <c:pt idx="647">
                  <c:v>161.75</c:v>
                </c:pt>
                <c:pt idx="648">
                  <c:v>162</c:v>
                </c:pt>
                <c:pt idx="649">
                  <c:v>162.25</c:v>
                </c:pt>
                <c:pt idx="650">
                  <c:v>162.5</c:v>
                </c:pt>
                <c:pt idx="651">
                  <c:v>162.75</c:v>
                </c:pt>
                <c:pt idx="652">
                  <c:v>163</c:v>
                </c:pt>
                <c:pt idx="653">
                  <c:v>163.25</c:v>
                </c:pt>
                <c:pt idx="654">
                  <c:v>163.5</c:v>
                </c:pt>
                <c:pt idx="655">
                  <c:v>163.75</c:v>
                </c:pt>
                <c:pt idx="656">
                  <c:v>164</c:v>
                </c:pt>
                <c:pt idx="657">
                  <c:v>164.25</c:v>
                </c:pt>
                <c:pt idx="658">
                  <c:v>164.5</c:v>
                </c:pt>
                <c:pt idx="659">
                  <c:v>164.75</c:v>
                </c:pt>
                <c:pt idx="660">
                  <c:v>165</c:v>
                </c:pt>
                <c:pt idx="661">
                  <c:v>165.25</c:v>
                </c:pt>
                <c:pt idx="662">
                  <c:v>165.5</c:v>
                </c:pt>
                <c:pt idx="663">
                  <c:v>165.75</c:v>
                </c:pt>
                <c:pt idx="664">
                  <c:v>166</c:v>
                </c:pt>
                <c:pt idx="665">
                  <c:v>166.25</c:v>
                </c:pt>
                <c:pt idx="666">
                  <c:v>166.5</c:v>
                </c:pt>
                <c:pt idx="667">
                  <c:v>166.75</c:v>
                </c:pt>
                <c:pt idx="668">
                  <c:v>167</c:v>
                </c:pt>
                <c:pt idx="669">
                  <c:v>167.25</c:v>
                </c:pt>
                <c:pt idx="670">
                  <c:v>167.5</c:v>
                </c:pt>
                <c:pt idx="671">
                  <c:v>167.75</c:v>
                </c:pt>
                <c:pt idx="672">
                  <c:v>168</c:v>
                </c:pt>
                <c:pt idx="673">
                  <c:v>168.25</c:v>
                </c:pt>
                <c:pt idx="674">
                  <c:v>168.5</c:v>
                </c:pt>
                <c:pt idx="675">
                  <c:v>168.75</c:v>
                </c:pt>
                <c:pt idx="676">
                  <c:v>169</c:v>
                </c:pt>
                <c:pt idx="677">
                  <c:v>169.25</c:v>
                </c:pt>
                <c:pt idx="678">
                  <c:v>169.5</c:v>
                </c:pt>
                <c:pt idx="679">
                  <c:v>169.75</c:v>
                </c:pt>
                <c:pt idx="680">
                  <c:v>170</c:v>
                </c:pt>
                <c:pt idx="681">
                  <c:v>170.25</c:v>
                </c:pt>
                <c:pt idx="682">
                  <c:v>170.5</c:v>
                </c:pt>
                <c:pt idx="683">
                  <c:v>170.75</c:v>
                </c:pt>
                <c:pt idx="684">
                  <c:v>171</c:v>
                </c:pt>
                <c:pt idx="685">
                  <c:v>171.25</c:v>
                </c:pt>
                <c:pt idx="686">
                  <c:v>171.5</c:v>
                </c:pt>
                <c:pt idx="687">
                  <c:v>171.75</c:v>
                </c:pt>
                <c:pt idx="688">
                  <c:v>172</c:v>
                </c:pt>
                <c:pt idx="689">
                  <c:v>172.25</c:v>
                </c:pt>
                <c:pt idx="690">
                  <c:v>172.5</c:v>
                </c:pt>
                <c:pt idx="691">
                  <c:v>172.75</c:v>
                </c:pt>
                <c:pt idx="692">
                  <c:v>173</c:v>
                </c:pt>
                <c:pt idx="693">
                  <c:v>173.25</c:v>
                </c:pt>
                <c:pt idx="694">
                  <c:v>173.5</c:v>
                </c:pt>
                <c:pt idx="695">
                  <c:v>173.75</c:v>
                </c:pt>
                <c:pt idx="696">
                  <c:v>174</c:v>
                </c:pt>
                <c:pt idx="697">
                  <c:v>174.25</c:v>
                </c:pt>
                <c:pt idx="698">
                  <c:v>174.5</c:v>
                </c:pt>
                <c:pt idx="699">
                  <c:v>174.75</c:v>
                </c:pt>
                <c:pt idx="700">
                  <c:v>175</c:v>
                </c:pt>
                <c:pt idx="701">
                  <c:v>175.25</c:v>
                </c:pt>
                <c:pt idx="702">
                  <c:v>175.5</c:v>
                </c:pt>
                <c:pt idx="703">
                  <c:v>175.75</c:v>
                </c:pt>
                <c:pt idx="704">
                  <c:v>176</c:v>
                </c:pt>
                <c:pt idx="705">
                  <c:v>176.25</c:v>
                </c:pt>
                <c:pt idx="706">
                  <c:v>176.5</c:v>
                </c:pt>
                <c:pt idx="707">
                  <c:v>176.75</c:v>
                </c:pt>
                <c:pt idx="708">
                  <c:v>177</c:v>
                </c:pt>
                <c:pt idx="709">
                  <c:v>177.25</c:v>
                </c:pt>
                <c:pt idx="710">
                  <c:v>177.5</c:v>
                </c:pt>
                <c:pt idx="711">
                  <c:v>177.75</c:v>
                </c:pt>
                <c:pt idx="712">
                  <c:v>178</c:v>
                </c:pt>
                <c:pt idx="713">
                  <c:v>178.25</c:v>
                </c:pt>
                <c:pt idx="714">
                  <c:v>178.5</c:v>
                </c:pt>
                <c:pt idx="715">
                  <c:v>178.75</c:v>
                </c:pt>
                <c:pt idx="716">
                  <c:v>179</c:v>
                </c:pt>
                <c:pt idx="717">
                  <c:v>179.25</c:v>
                </c:pt>
                <c:pt idx="718">
                  <c:v>179.5</c:v>
                </c:pt>
                <c:pt idx="719">
                  <c:v>179.75</c:v>
                </c:pt>
                <c:pt idx="720">
                  <c:v>180</c:v>
                </c:pt>
                <c:pt idx="721">
                  <c:v>180.25</c:v>
                </c:pt>
                <c:pt idx="722">
                  <c:v>180.5</c:v>
                </c:pt>
                <c:pt idx="723">
                  <c:v>180.75</c:v>
                </c:pt>
                <c:pt idx="724">
                  <c:v>181</c:v>
                </c:pt>
                <c:pt idx="725">
                  <c:v>181.25</c:v>
                </c:pt>
                <c:pt idx="726">
                  <c:v>181.5</c:v>
                </c:pt>
                <c:pt idx="727">
                  <c:v>181.75</c:v>
                </c:pt>
                <c:pt idx="728">
                  <c:v>182</c:v>
                </c:pt>
                <c:pt idx="729">
                  <c:v>182.25</c:v>
                </c:pt>
                <c:pt idx="730">
                  <c:v>182.5</c:v>
                </c:pt>
                <c:pt idx="731">
                  <c:v>182.75</c:v>
                </c:pt>
                <c:pt idx="732">
                  <c:v>183</c:v>
                </c:pt>
                <c:pt idx="733">
                  <c:v>183.25</c:v>
                </c:pt>
                <c:pt idx="734">
                  <c:v>183.5</c:v>
                </c:pt>
                <c:pt idx="735">
                  <c:v>183.75</c:v>
                </c:pt>
                <c:pt idx="736">
                  <c:v>184</c:v>
                </c:pt>
                <c:pt idx="737">
                  <c:v>184.25</c:v>
                </c:pt>
                <c:pt idx="738">
                  <c:v>184.5</c:v>
                </c:pt>
                <c:pt idx="739">
                  <c:v>184.75</c:v>
                </c:pt>
                <c:pt idx="740">
                  <c:v>185</c:v>
                </c:pt>
                <c:pt idx="741">
                  <c:v>185.25</c:v>
                </c:pt>
                <c:pt idx="742">
                  <c:v>185.5</c:v>
                </c:pt>
                <c:pt idx="743">
                  <c:v>185.75</c:v>
                </c:pt>
                <c:pt idx="744">
                  <c:v>186</c:v>
                </c:pt>
                <c:pt idx="745">
                  <c:v>186.25</c:v>
                </c:pt>
                <c:pt idx="746">
                  <c:v>186.5</c:v>
                </c:pt>
                <c:pt idx="747">
                  <c:v>186.75</c:v>
                </c:pt>
                <c:pt idx="748">
                  <c:v>187</c:v>
                </c:pt>
                <c:pt idx="749">
                  <c:v>187.25</c:v>
                </c:pt>
                <c:pt idx="750">
                  <c:v>187.5</c:v>
                </c:pt>
                <c:pt idx="751">
                  <c:v>187.75</c:v>
                </c:pt>
                <c:pt idx="752">
                  <c:v>188</c:v>
                </c:pt>
                <c:pt idx="753">
                  <c:v>188.25</c:v>
                </c:pt>
                <c:pt idx="754">
                  <c:v>188.5</c:v>
                </c:pt>
                <c:pt idx="755">
                  <c:v>188.75</c:v>
                </c:pt>
                <c:pt idx="756">
                  <c:v>189</c:v>
                </c:pt>
                <c:pt idx="757">
                  <c:v>189.25</c:v>
                </c:pt>
                <c:pt idx="758">
                  <c:v>189.5</c:v>
                </c:pt>
                <c:pt idx="759">
                  <c:v>189.75</c:v>
                </c:pt>
                <c:pt idx="760">
                  <c:v>190</c:v>
                </c:pt>
                <c:pt idx="761">
                  <c:v>190.25</c:v>
                </c:pt>
                <c:pt idx="762">
                  <c:v>190.5</c:v>
                </c:pt>
                <c:pt idx="763">
                  <c:v>190.75</c:v>
                </c:pt>
                <c:pt idx="764">
                  <c:v>191</c:v>
                </c:pt>
                <c:pt idx="765">
                  <c:v>191.25</c:v>
                </c:pt>
                <c:pt idx="766">
                  <c:v>191.5</c:v>
                </c:pt>
                <c:pt idx="767">
                  <c:v>191.75</c:v>
                </c:pt>
                <c:pt idx="768">
                  <c:v>192</c:v>
                </c:pt>
                <c:pt idx="769">
                  <c:v>192.25</c:v>
                </c:pt>
                <c:pt idx="770">
                  <c:v>192.5</c:v>
                </c:pt>
                <c:pt idx="771">
                  <c:v>192.75</c:v>
                </c:pt>
                <c:pt idx="772">
                  <c:v>193</c:v>
                </c:pt>
                <c:pt idx="773">
                  <c:v>193.25</c:v>
                </c:pt>
                <c:pt idx="774">
                  <c:v>193.5</c:v>
                </c:pt>
                <c:pt idx="775">
                  <c:v>193.75</c:v>
                </c:pt>
                <c:pt idx="776">
                  <c:v>194</c:v>
                </c:pt>
                <c:pt idx="777">
                  <c:v>194.25</c:v>
                </c:pt>
                <c:pt idx="778">
                  <c:v>194.5</c:v>
                </c:pt>
                <c:pt idx="779">
                  <c:v>194.75</c:v>
                </c:pt>
                <c:pt idx="780">
                  <c:v>195</c:v>
                </c:pt>
                <c:pt idx="781">
                  <c:v>195.25</c:v>
                </c:pt>
                <c:pt idx="782">
                  <c:v>195.5</c:v>
                </c:pt>
                <c:pt idx="783">
                  <c:v>195.75</c:v>
                </c:pt>
                <c:pt idx="784">
                  <c:v>196</c:v>
                </c:pt>
                <c:pt idx="785">
                  <c:v>196.25</c:v>
                </c:pt>
                <c:pt idx="786">
                  <c:v>196.5</c:v>
                </c:pt>
                <c:pt idx="787">
                  <c:v>196.75</c:v>
                </c:pt>
                <c:pt idx="788">
                  <c:v>197</c:v>
                </c:pt>
                <c:pt idx="789">
                  <c:v>197.25</c:v>
                </c:pt>
                <c:pt idx="790">
                  <c:v>197.5</c:v>
                </c:pt>
                <c:pt idx="791">
                  <c:v>197.75</c:v>
                </c:pt>
                <c:pt idx="792">
                  <c:v>198</c:v>
                </c:pt>
                <c:pt idx="793">
                  <c:v>198.25</c:v>
                </c:pt>
                <c:pt idx="794">
                  <c:v>198.5</c:v>
                </c:pt>
                <c:pt idx="795">
                  <c:v>198.75</c:v>
                </c:pt>
                <c:pt idx="796">
                  <c:v>199</c:v>
                </c:pt>
                <c:pt idx="797">
                  <c:v>199.25</c:v>
                </c:pt>
                <c:pt idx="798">
                  <c:v>199.5</c:v>
                </c:pt>
                <c:pt idx="799">
                  <c:v>199.75</c:v>
                </c:pt>
                <c:pt idx="800">
                  <c:v>200</c:v>
                </c:pt>
                <c:pt idx="801">
                  <c:v>200.25</c:v>
                </c:pt>
                <c:pt idx="802">
                  <c:v>200.5</c:v>
                </c:pt>
                <c:pt idx="803">
                  <c:v>200.75</c:v>
                </c:pt>
                <c:pt idx="804">
                  <c:v>201</c:v>
                </c:pt>
                <c:pt idx="805">
                  <c:v>201.25</c:v>
                </c:pt>
                <c:pt idx="806">
                  <c:v>201.5</c:v>
                </c:pt>
                <c:pt idx="807">
                  <c:v>201.75</c:v>
                </c:pt>
                <c:pt idx="808">
                  <c:v>202</c:v>
                </c:pt>
                <c:pt idx="809">
                  <c:v>202.25</c:v>
                </c:pt>
                <c:pt idx="810">
                  <c:v>202.5</c:v>
                </c:pt>
                <c:pt idx="811">
                  <c:v>202.75</c:v>
                </c:pt>
                <c:pt idx="812">
                  <c:v>203</c:v>
                </c:pt>
                <c:pt idx="813">
                  <c:v>203.25</c:v>
                </c:pt>
                <c:pt idx="814">
                  <c:v>203.5</c:v>
                </c:pt>
                <c:pt idx="815">
                  <c:v>203.75</c:v>
                </c:pt>
                <c:pt idx="816">
                  <c:v>204</c:v>
                </c:pt>
                <c:pt idx="817">
                  <c:v>204.25</c:v>
                </c:pt>
                <c:pt idx="818">
                  <c:v>204.5</c:v>
                </c:pt>
                <c:pt idx="819">
                  <c:v>204.75</c:v>
                </c:pt>
                <c:pt idx="820">
                  <c:v>205</c:v>
                </c:pt>
                <c:pt idx="821">
                  <c:v>205.25</c:v>
                </c:pt>
                <c:pt idx="822">
                  <c:v>205.5</c:v>
                </c:pt>
                <c:pt idx="823">
                  <c:v>205.75</c:v>
                </c:pt>
                <c:pt idx="824">
                  <c:v>206</c:v>
                </c:pt>
                <c:pt idx="825">
                  <c:v>206.25</c:v>
                </c:pt>
                <c:pt idx="826">
                  <c:v>206.5</c:v>
                </c:pt>
                <c:pt idx="827">
                  <c:v>206.75</c:v>
                </c:pt>
                <c:pt idx="828">
                  <c:v>207</c:v>
                </c:pt>
                <c:pt idx="829">
                  <c:v>207.25</c:v>
                </c:pt>
                <c:pt idx="830">
                  <c:v>207.5</c:v>
                </c:pt>
                <c:pt idx="831">
                  <c:v>207.75</c:v>
                </c:pt>
                <c:pt idx="832">
                  <c:v>208</c:v>
                </c:pt>
                <c:pt idx="833">
                  <c:v>208.25</c:v>
                </c:pt>
                <c:pt idx="834">
                  <c:v>208.5</c:v>
                </c:pt>
                <c:pt idx="835">
                  <c:v>208.75</c:v>
                </c:pt>
                <c:pt idx="836">
                  <c:v>209</c:v>
                </c:pt>
                <c:pt idx="837">
                  <c:v>209.25</c:v>
                </c:pt>
                <c:pt idx="838">
                  <c:v>209.5</c:v>
                </c:pt>
                <c:pt idx="839">
                  <c:v>209.75</c:v>
                </c:pt>
                <c:pt idx="840">
                  <c:v>210</c:v>
                </c:pt>
                <c:pt idx="841">
                  <c:v>210.25</c:v>
                </c:pt>
                <c:pt idx="842">
                  <c:v>210.5</c:v>
                </c:pt>
                <c:pt idx="843">
                  <c:v>210.75</c:v>
                </c:pt>
                <c:pt idx="844">
                  <c:v>211</c:v>
                </c:pt>
                <c:pt idx="845">
                  <c:v>211.25</c:v>
                </c:pt>
                <c:pt idx="846">
                  <c:v>211.5</c:v>
                </c:pt>
                <c:pt idx="847">
                  <c:v>211.75</c:v>
                </c:pt>
                <c:pt idx="848">
                  <c:v>212</c:v>
                </c:pt>
                <c:pt idx="849">
                  <c:v>212.25</c:v>
                </c:pt>
                <c:pt idx="850">
                  <c:v>212.5</c:v>
                </c:pt>
                <c:pt idx="851">
                  <c:v>212.75</c:v>
                </c:pt>
                <c:pt idx="852">
                  <c:v>213</c:v>
                </c:pt>
                <c:pt idx="853">
                  <c:v>213.25</c:v>
                </c:pt>
                <c:pt idx="854">
                  <c:v>213.5</c:v>
                </c:pt>
                <c:pt idx="855">
                  <c:v>213.75</c:v>
                </c:pt>
                <c:pt idx="856">
                  <c:v>214</c:v>
                </c:pt>
                <c:pt idx="857">
                  <c:v>214.25</c:v>
                </c:pt>
                <c:pt idx="858">
                  <c:v>214.5</c:v>
                </c:pt>
                <c:pt idx="859">
                  <c:v>214.75</c:v>
                </c:pt>
                <c:pt idx="860">
                  <c:v>215</c:v>
                </c:pt>
                <c:pt idx="861">
                  <c:v>215.25</c:v>
                </c:pt>
                <c:pt idx="862">
                  <c:v>215.5</c:v>
                </c:pt>
                <c:pt idx="863">
                  <c:v>215.75</c:v>
                </c:pt>
                <c:pt idx="864">
                  <c:v>216</c:v>
                </c:pt>
                <c:pt idx="865">
                  <c:v>216.25</c:v>
                </c:pt>
                <c:pt idx="866">
                  <c:v>216.5</c:v>
                </c:pt>
                <c:pt idx="867">
                  <c:v>216.75</c:v>
                </c:pt>
                <c:pt idx="868">
                  <c:v>217</c:v>
                </c:pt>
                <c:pt idx="869">
                  <c:v>217.25</c:v>
                </c:pt>
                <c:pt idx="870">
                  <c:v>217.5</c:v>
                </c:pt>
                <c:pt idx="871">
                  <c:v>217.75</c:v>
                </c:pt>
                <c:pt idx="872">
                  <c:v>218</c:v>
                </c:pt>
                <c:pt idx="873">
                  <c:v>218.25</c:v>
                </c:pt>
                <c:pt idx="874">
                  <c:v>218.5</c:v>
                </c:pt>
                <c:pt idx="875">
                  <c:v>218.75</c:v>
                </c:pt>
                <c:pt idx="876">
                  <c:v>219</c:v>
                </c:pt>
                <c:pt idx="877">
                  <c:v>219.25</c:v>
                </c:pt>
                <c:pt idx="878">
                  <c:v>219.5</c:v>
                </c:pt>
                <c:pt idx="879">
                  <c:v>219.75</c:v>
                </c:pt>
                <c:pt idx="880">
                  <c:v>220</c:v>
                </c:pt>
                <c:pt idx="881">
                  <c:v>220.25</c:v>
                </c:pt>
                <c:pt idx="882">
                  <c:v>220.5</c:v>
                </c:pt>
                <c:pt idx="883">
                  <c:v>220.75</c:v>
                </c:pt>
                <c:pt idx="884">
                  <c:v>221</c:v>
                </c:pt>
                <c:pt idx="885">
                  <c:v>221.25</c:v>
                </c:pt>
                <c:pt idx="886">
                  <c:v>221.5</c:v>
                </c:pt>
                <c:pt idx="887">
                  <c:v>221.75</c:v>
                </c:pt>
                <c:pt idx="888">
                  <c:v>222</c:v>
                </c:pt>
                <c:pt idx="889">
                  <c:v>222.25</c:v>
                </c:pt>
                <c:pt idx="890">
                  <c:v>222.5</c:v>
                </c:pt>
                <c:pt idx="891">
                  <c:v>222.75</c:v>
                </c:pt>
                <c:pt idx="892">
                  <c:v>223</c:v>
                </c:pt>
                <c:pt idx="893">
                  <c:v>223.25</c:v>
                </c:pt>
                <c:pt idx="894">
                  <c:v>223.5</c:v>
                </c:pt>
                <c:pt idx="895">
                  <c:v>223.75</c:v>
                </c:pt>
                <c:pt idx="896">
                  <c:v>224</c:v>
                </c:pt>
                <c:pt idx="897">
                  <c:v>224.25</c:v>
                </c:pt>
                <c:pt idx="898">
                  <c:v>224.5</c:v>
                </c:pt>
                <c:pt idx="899">
                  <c:v>224.75</c:v>
                </c:pt>
                <c:pt idx="900">
                  <c:v>225</c:v>
                </c:pt>
                <c:pt idx="901">
                  <c:v>225.25</c:v>
                </c:pt>
                <c:pt idx="902">
                  <c:v>225.5</c:v>
                </c:pt>
                <c:pt idx="903">
                  <c:v>225.75</c:v>
                </c:pt>
                <c:pt idx="904">
                  <c:v>226</c:v>
                </c:pt>
                <c:pt idx="905">
                  <c:v>226.25</c:v>
                </c:pt>
                <c:pt idx="906">
                  <c:v>226.5</c:v>
                </c:pt>
                <c:pt idx="907">
                  <c:v>226.75</c:v>
                </c:pt>
                <c:pt idx="908">
                  <c:v>227</c:v>
                </c:pt>
                <c:pt idx="909">
                  <c:v>227.25</c:v>
                </c:pt>
                <c:pt idx="910">
                  <c:v>227.5</c:v>
                </c:pt>
                <c:pt idx="911">
                  <c:v>227.75</c:v>
                </c:pt>
                <c:pt idx="912">
                  <c:v>228</c:v>
                </c:pt>
                <c:pt idx="913">
                  <c:v>228.25</c:v>
                </c:pt>
                <c:pt idx="914">
                  <c:v>228.5</c:v>
                </c:pt>
                <c:pt idx="915">
                  <c:v>228.75</c:v>
                </c:pt>
                <c:pt idx="916">
                  <c:v>229</c:v>
                </c:pt>
                <c:pt idx="917">
                  <c:v>229.25</c:v>
                </c:pt>
                <c:pt idx="918">
                  <c:v>229.5</c:v>
                </c:pt>
                <c:pt idx="919">
                  <c:v>229.75</c:v>
                </c:pt>
                <c:pt idx="920">
                  <c:v>230</c:v>
                </c:pt>
                <c:pt idx="921">
                  <c:v>230.25</c:v>
                </c:pt>
                <c:pt idx="922">
                  <c:v>230.5</c:v>
                </c:pt>
                <c:pt idx="923">
                  <c:v>230.75</c:v>
                </c:pt>
                <c:pt idx="924">
                  <c:v>231</c:v>
                </c:pt>
                <c:pt idx="925">
                  <c:v>231.25</c:v>
                </c:pt>
                <c:pt idx="926">
                  <c:v>231.5</c:v>
                </c:pt>
                <c:pt idx="927">
                  <c:v>231.75</c:v>
                </c:pt>
                <c:pt idx="928">
                  <c:v>232</c:v>
                </c:pt>
                <c:pt idx="929">
                  <c:v>232.25</c:v>
                </c:pt>
                <c:pt idx="930">
                  <c:v>232.5</c:v>
                </c:pt>
                <c:pt idx="931">
                  <c:v>232.75</c:v>
                </c:pt>
                <c:pt idx="932">
                  <c:v>233</c:v>
                </c:pt>
                <c:pt idx="933">
                  <c:v>233.25</c:v>
                </c:pt>
                <c:pt idx="934">
                  <c:v>233.5</c:v>
                </c:pt>
                <c:pt idx="935">
                  <c:v>233.75</c:v>
                </c:pt>
                <c:pt idx="936">
                  <c:v>234</c:v>
                </c:pt>
                <c:pt idx="937">
                  <c:v>234.25</c:v>
                </c:pt>
                <c:pt idx="938">
                  <c:v>234.5</c:v>
                </c:pt>
                <c:pt idx="939">
                  <c:v>234.75</c:v>
                </c:pt>
                <c:pt idx="940">
                  <c:v>235</c:v>
                </c:pt>
                <c:pt idx="941">
                  <c:v>235.25</c:v>
                </c:pt>
                <c:pt idx="942">
                  <c:v>235.5</c:v>
                </c:pt>
                <c:pt idx="943">
                  <c:v>235.75</c:v>
                </c:pt>
                <c:pt idx="944">
                  <c:v>236</c:v>
                </c:pt>
                <c:pt idx="945">
                  <c:v>236.25</c:v>
                </c:pt>
                <c:pt idx="946">
                  <c:v>236.5</c:v>
                </c:pt>
                <c:pt idx="947">
                  <c:v>236.75</c:v>
                </c:pt>
                <c:pt idx="948">
                  <c:v>237</c:v>
                </c:pt>
                <c:pt idx="949">
                  <c:v>237.25</c:v>
                </c:pt>
                <c:pt idx="950">
                  <c:v>237.5</c:v>
                </c:pt>
                <c:pt idx="951">
                  <c:v>237.75</c:v>
                </c:pt>
                <c:pt idx="952">
                  <c:v>238</c:v>
                </c:pt>
                <c:pt idx="953">
                  <c:v>238.25</c:v>
                </c:pt>
                <c:pt idx="954">
                  <c:v>238.5</c:v>
                </c:pt>
                <c:pt idx="955">
                  <c:v>238.75</c:v>
                </c:pt>
                <c:pt idx="956">
                  <c:v>239</c:v>
                </c:pt>
                <c:pt idx="957">
                  <c:v>239.25</c:v>
                </c:pt>
                <c:pt idx="958">
                  <c:v>239.5</c:v>
                </c:pt>
                <c:pt idx="959">
                  <c:v>239.75</c:v>
                </c:pt>
                <c:pt idx="960">
                  <c:v>240</c:v>
                </c:pt>
                <c:pt idx="961">
                  <c:v>240.25</c:v>
                </c:pt>
                <c:pt idx="962">
                  <c:v>240.5</c:v>
                </c:pt>
                <c:pt idx="963">
                  <c:v>240.75</c:v>
                </c:pt>
                <c:pt idx="964">
                  <c:v>241</c:v>
                </c:pt>
                <c:pt idx="965">
                  <c:v>241.25</c:v>
                </c:pt>
                <c:pt idx="966">
                  <c:v>241.5</c:v>
                </c:pt>
                <c:pt idx="967">
                  <c:v>241.75</c:v>
                </c:pt>
                <c:pt idx="968">
                  <c:v>242</c:v>
                </c:pt>
                <c:pt idx="969">
                  <c:v>242.25</c:v>
                </c:pt>
                <c:pt idx="970">
                  <c:v>242.5</c:v>
                </c:pt>
                <c:pt idx="971">
                  <c:v>242.75</c:v>
                </c:pt>
                <c:pt idx="972">
                  <c:v>243</c:v>
                </c:pt>
                <c:pt idx="973">
                  <c:v>243.25</c:v>
                </c:pt>
                <c:pt idx="974">
                  <c:v>243.5</c:v>
                </c:pt>
                <c:pt idx="975">
                  <c:v>243.75</c:v>
                </c:pt>
                <c:pt idx="976">
                  <c:v>244</c:v>
                </c:pt>
                <c:pt idx="977">
                  <c:v>244.25</c:v>
                </c:pt>
                <c:pt idx="978">
                  <c:v>244.5</c:v>
                </c:pt>
                <c:pt idx="979">
                  <c:v>244.75</c:v>
                </c:pt>
                <c:pt idx="980">
                  <c:v>245</c:v>
                </c:pt>
                <c:pt idx="981">
                  <c:v>245.25</c:v>
                </c:pt>
                <c:pt idx="982">
                  <c:v>245.5</c:v>
                </c:pt>
                <c:pt idx="983">
                  <c:v>245.75</c:v>
                </c:pt>
                <c:pt idx="984">
                  <c:v>246</c:v>
                </c:pt>
                <c:pt idx="985">
                  <c:v>246.25</c:v>
                </c:pt>
                <c:pt idx="986">
                  <c:v>246.5</c:v>
                </c:pt>
                <c:pt idx="987">
                  <c:v>246.75</c:v>
                </c:pt>
                <c:pt idx="988">
                  <c:v>247</c:v>
                </c:pt>
                <c:pt idx="989">
                  <c:v>247.25</c:v>
                </c:pt>
                <c:pt idx="990">
                  <c:v>247.5</c:v>
                </c:pt>
                <c:pt idx="991">
                  <c:v>247.75</c:v>
                </c:pt>
                <c:pt idx="992">
                  <c:v>248</c:v>
                </c:pt>
                <c:pt idx="993">
                  <c:v>248.25</c:v>
                </c:pt>
                <c:pt idx="994">
                  <c:v>248.5</c:v>
                </c:pt>
                <c:pt idx="995">
                  <c:v>248.75</c:v>
                </c:pt>
                <c:pt idx="996">
                  <c:v>249</c:v>
                </c:pt>
                <c:pt idx="997">
                  <c:v>249.25</c:v>
                </c:pt>
                <c:pt idx="998">
                  <c:v>249.5</c:v>
                </c:pt>
                <c:pt idx="999">
                  <c:v>249.75</c:v>
                </c:pt>
                <c:pt idx="1000">
                  <c:v>250</c:v>
                </c:pt>
                <c:pt idx="1001">
                  <c:v>250.25</c:v>
                </c:pt>
                <c:pt idx="1002">
                  <c:v>250.5</c:v>
                </c:pt>
                <c:pt idx="1003">
                  <c:v>250.75</c:v>
                </c:pt>
                <c:pt idx="1004">
                  <c:v>251</c:v>
                </c:pt>
                <c:pt idx="1005">
                  <c:v>251.25</c:v>
                </c:pt>
                <c:pt idx="1006">
                  <c:v>251.5</c:v>
                </c:pt>
                <c:pt idx="1007">
                  <c:v>251.75</c:v>
                </c:pt>
                <c:pt idx="1008">
                  <c:v>252</c:v>
                </c:pt>
                <c:pt idx="1009">
                  <c:v>252.25</c:v>
                </c:pt>
                <c:pt idx="1010">
                  <c:v>252.5</c:v>
                </c:pt>
                <c:pt idx="1011">
                  <c:v>252.75</c:v>
                </c:pt>
                <c:pt idx="1012">
                  <c:v>253</c:v>
                </c:pt>
                <c:pt idx="1013">
                  <c:v>253.25</c:v>
                </c:pt>
                <c:pt idx="1014">
                  <c:v>253.5</c:v>
                </c:pt>
                <c:pt idx="1015">
                  <c:v>253.75</c:v>
                </c:pt>
                <c:pt idx="1016">
                  <c:v>254</c:v>
                </c:pt>
                <c:pt idx="1017">
                  <c:v>254.25</c:v>
                </c:pt>
                <c:pt idx="1018">
                  <c:v>254.5</c:v>
                </c:pt>
                <c:pt idx="1019">
                  <c:v>254.75</c:v>
                </c:pt>
                <c:pt idx="1020">
                  <c:v>255</c:v>
                </c:pt>
                <c:pt idx="1021">
                  <c:v>255.25</c:v>
                </c:pt>
                <c:pt idx="1022">
                  <c:v>255.5</c:v>
                </c:pt>
                <c:pt idx="1023">
                  <c:v>255.75</c:v>
                </c:pt>
                <c:pt idx="1024">
                  <c:v>256</c:v>
                </c:pt>
                <c:pt idx="1025">
                  <c:v>256.25</c:v>
                </c:pt>
                <c:pt idx="1026">
                  <c:v>256.5</c:v>
                </c:pt>
                <c:pt idx="1027">
                  <c:v>256.75</c:v>
                </c:pt>
                <c:pt idx="1028">
                  <c:v>257</c:v>
                </c:pt>
                <c:pt idx="1029">
                  <c:v>257.25</c:v>
                </c:pt>
                <c:pt idx="1030">
                  <c:v>257.5</c:v>
                </c:pt>
                <c:pt idx="1031">
                  <c:v>257.75</c:v>
                </c:pt>
                <c:pt idx="1032">
                  <c:v>258</c:v>
                </c:pt>
                <c:pt idx="1033">
                  <c:v>258.25</c:v>
                </c:pt>
                <c:pt idx="1034">
                  <c:v>258.5</c:v>
                </c:pt>
                <c:pt idx="1035">
                  <c:v>258.75</c:v>
                </c:pt>
                <c:pt idx="1036">
                  <c:v>259</c:v>
                </c:pt>
                <c:pt idx="1037">
                  <c:v>259.25</c:v>
                </c:pt>
                <c:pt idx="1038">
                  <c:v>259.5</c:v>
                </c:pt>
                <c:pt idx="1039">
                  <c:v>259.75</c:v>
                </c:pt>
                <c:pt idx="1040">
                  <c:v>260</c:v>
                </c:pt>
                <c:pt idx="1041">
                  <c:v>260.25</c:v>
                </c:pt>
                <c:pt idx="1042">
                  <c:v>260.5</c:v>
                </c:pt>
                <c:pt idx="1043">
                  <c:v>260.75</c:v>
                </c:pt>
                <c:pt idx="1044">
                  <c:v>261</c:v>
                </c:pt>
                <c:pt idx="1045">
                  <c:v>261.25</c:v>
                </c:pt>
                <c:pt idx="1046">
                  <c:v>261.5</c:v>
                </c:pt>
                <c:pt idx="1047">
                  <c:v>261.75</c:v>
                </c:pt>
                <c:pt idx="1048">
                  <c:v>262</c:v>
                </c:pt>
                <c:pt idx="1049">
                  <c:v>262.25</c:v>
                </c:pt>
                <c:pt idx="1050">
                  <c:v>262.5</c:v>
                </c:pt>
                <c:pt idx="1051">
                  <c:v>262.75</c:v>
                </c:pt>
                <c:pt idx="1052">
                  <c:v>263</c:v>
                </c:pt>
                <c:pt idx="1053">
                  <c:v>263.25</c:v>
                </c:pt>
                <c:pt idx="1054">
                  <c:v>263.5</c:v>
                </c:pt>
                <c:pt idx="1055">
                  <c:v>263.75</c:v>
                </c:pt>
                <c:pt idx="1056">
                  <c:v>264</c:v>
                </c:pt>
                <c:pt idx="1057">
                  <c:v>264.25</c:v>
                </c:pt>
                <c:pt idx="1058">
                  <c:v>264.5</c:v>
                </c:pt>
                <c:pt idx="1059">
                  <c:v>264.75</c:v>
                </c:pt>
                <c:pt idx="1060">
                  <c:v>265</c:v>
                </c:pt>
                <c:pt idx="1061">
                  <c:v>265.25</c:v>
                </c:pt>
                <c:pt idx="1062">
                  <c:v>265.5</c:v>
                </c:pt>
                <c:pt idx="1063">
                  <c:v>265.75</c:v>
                </c:pt>
                <c:pt idx="1064">
                  <c:v>266</c:v>
                </c:pt>
                <c:pt idx="1065">
                  <c:v>266.25</c:v>
                </c:pt>
                <c:pt idx="1066">
                  <c:v>266.5</c:v>
                </c:pt>
                <c:pt idx="1067">
                  <c:v>266.75</c:v>
                </c:pt>
                <c:pt idx="1068">
                  <c:v>267</c:v>
                </c:pt>
                <c:pt idx="1069">
                  <c:v>267.25</c:v>
                </c:pt>
                <c:pt idx="1070">
                  <c:v>267.5</c:v>
                </c:pt>
                <c:pt idx="1071">
                  <c:v>267.75</c:v>
                </c:pt>
                <c:pt idx="1072">
                  <c:v>268</c:v>
                </c:pt>
                <c:pt idx="1073">
                  <c:v>268.25</c:v>
                </c:pt>
                <c:pt idx="1074">
                  <c:v>268.5</c:v>
                </c:pt>
                <c:pt idx="1075">
                  <c:v>268.75</c:v>
                </c:pt>
                <c:pt idx="1076">
                  <c:v>269</c:v>
                </c:pt>
                <c:pt idx="1077">
                  <c:v>269.25</c:v>
                </c:pt>
                <c:pt idx="1078">
                  <c:v>269.5</c:v>
                </c:pt>
                <c:pt idx="1079">
                  <c:v>269.75</c:v>
                </c:pt>
                <c:pt idx="1080">
                  <c:v>270</c:v>
                </c:pt>
                <c:pt idx="1081">
                  <c:v>270.25</c:v>
                </c:pt>
                <c:pt idx="1082">
                  <c:v>270.5</c:v>
                </c:pt>
                <c:pt idx="1083">
                  <c:v>270.75</c:v>
                </c:pt>
                <c:pt idx="1084">
                  <c:v>271</c:v>
                </c:pt>
                <c:pt idx="1085">
                  <c:v>271.25</c:v>
                </c:pt>
                <c:pt idx="1086">
                  <c:v>271.5</c:v>
                </c:pt>
                <c:pt idx="1087">
                  <c:v>271.75</c:v>
                </c:pt>
                <c:pt idx="1088">
                  <c:v>272</c:v>
                </c:pt>
                <c:pt idx="1089">
                  <c:v>272.25</c:v>
                </c:pt>
                <c:pt idx="1090">
                  <c:v>272.5</c:v>
                </c:pt>
                <c:pt idx="1091">
                  <c:v>272.75</c:v>
                </c:pt>
                <c:pt idx="1092">
                  <c:v>273</c:v>
                </c:pt>
                <c:pt idx="1093">
                  <c:v>273.25</c:v>
                </c:pt>
                <c:pt idx="1094">
                  <c:v>273.5</c:v>
                </c:pt>
                <c:pt idx="1095">
                  <c:v>273.75</c:v>
                </c:pt>
                <c:pt idx="1096">
                  <c:v>274</c:v>
                </c:pt>
                <c:pt idx="1097">
                  <c:v>274.25</c:v>
                </c:pt>
                <c:pt idx="1098">
                  <c:v>274.5</c:v>
                </c:pt>
                <c:pt idx="1099">
                  <c:v>274.75</c:v>
                </c:pt>
                <c:pt idx="1100">
                  <c:v>275</c:v>
                </c:pt>
                <c:pt idx="1101">
                  <c:v>275.25</c:v>
                </c:pt>
                <c:pt idx="1102">
                  <c:v>275.5</c:v>
                </c:pt>
                <c:pt idx="1103">
                  <c:v>275.75</c:v>
                </c:pt>
                <c:pt idx="1104">
                  <c:v>276</c:v>
                </c:pt>
                <c:pt idx="1105">
                  <c:v>276.25</c:v>
                </c:pt>
                <c:pt idx="1106">
                  <c:v>276.5</c:v>
                </c:pt>
                <c:pt idx="1107">
                  <c:v>276.75</c:v>
                </c:pt>
                <c:pt idx="1108">
                  <c:v>277</c:v>
                </c:pt>
                <c:pt idx="1109">
                  <c:v>277.25</c:v>
                </c:pt>
                <c:pt idx="1110">
                  <c:v>277.5</c:v>
                </c:pt>
                <c:pt idx="1111">
                  <c:v>277.75</c:v>
                </c:pt>
                <c:pt idx="1112">
                  <c:v>278</c:v>
                </c:pt>
                <c:pt idx="1113">
                  <c:v>278.25</c:v>
                </c:pt>
                <c:pt idx="1114">
                  <c:v>278.5</c:v>
                </c:pt>
                <c:pt idx="1115">
                  <c:v>278.75</c:v>
                </c:pt>
                <c:pt idx="1116">
                  <c:v>279</c:v>
                </c:pt>
                <c:pt idx="1117">
                  <c:v>279.25</c:v>
                </c:pt>
                <c:pt idx="1118">
                  <c:v>279.5</c:v>
                </c:pt>
                <c:pt idx="1119">
                  <c:v>279.75</c:v>
                </c:pt>
                <c:pt idx="1120">
                  <c:v>280</c:v>
                </c:pt>
                <c:pt idx="1121">
                  <c:v>280.25</c:v>
                </c:pt>
                <c:pt idx="1122">
                  <c:v>280.5</c:v>
                </c:pt>
                <c:pt idx="1123">
                  <c:v>280.75</c:v>
                </c:pt>
                <c:pt idx="1124">
                  <c:v>281</c:v>
                </c:pt>
                <c:pt idx="1125">
                  <c:v>281.25</c:v>
                </c:pt>
                <c:pt idx="1126">
                  <c:v>281.5</c:v>
                </c:pt>
                <c:pt idx="1127">
                  <c:v>281.75</c:v>
                </c:pt>
                <c:pt idx="1128">
                  <c:v>282</c:v>
                </c:pt>
                <c:pt idx="1129">
                  <c:v>282.25</c:v>
                </c:pt>
                <c:pt idx="1130">
                  <c:v>282.5</c:v>
                </c:pt>
                <c:pt idx="1131">
                  <c:v>282.75</c:v>
                </c:pt>
                <c:pt idx="1132">
                  <c:v>283</c:v>
                </c:pt>
                <c:pt idx="1133">
                  <c:v>283.25</c:v>
                </c:pt>
                <c:pt idx="1134">
                  <c:v>283.5</c:v>
                </c:pt>
                <c:pt idx="1135">
                  <c:v>283.75</c:v>
                </c:pt>
                <c:pt idx="1136">
                  <c:v>284</c:v>
                </c:pt>
                <c:pt idx="1137">
                  <c:v>284.25</c:v>
                </c:pt>
                <c:pt idx="1138">
                  <c:v>284.5</c:v>
                </c:pt>
                <c:pt idx="1139">
                  <c:v>284.75</c:v>
                </c:pt>
                <c:pt idx="1140">
                  <c:v>285</c:v>
                </c:pt>
                <c:pt idx="1141">
                  <c:v>285.25</c:v>
                </c:pt>
                <c:pt idx="1142">
                  <c:v>285.5</c:v>
                </c:pt>
                <c:pt idx="1143">
                  <c:v>285.75</c:v>
                </c:pt>
                <c:pt idx="1144">
                  <c:v>286</c:v>
                </c:pt>
                <c:pt idx="1145">
                  <c:v>286.25</c:v>
                </c:pt>
                <c:pt idx="1146">
                  <c:v>286.5</c:v>
                </c:pt>
                <c:pt idx="1147">
                  <c:v>286.75</c:v>
                </c:pt>
                <c:pt idx="1148">
                  <c:v>287</c:v>
                </c:pt>
                <c:pt idx="1149">
                  <c:v>287.25</c:v>
                </c:pt>
                <c:pt idx="1150">
                  <c:v>287.5</c:v>
                </c:pt>
                <c:pt idx="1151">
                  <c:v>287.75</c:v>
                </c:pt>
                <c:pt idx="1152">
                  <c:v>288</c:v>
                </c:pt>
                <c:pt idx="1153">
                  <c:v>288.25</c:v>
                </c:pt>
                <c:pt idx="1154">
                  <c:v>288.5</c:v>
                </c:pt>
                <c:pt idx="1155">
                  <c:v>288.75</c:v>
                </c:pt>
                <c:pt idx="1156">
                  <c:v>289</c:v>
                </c:pt>
                <c:pt idx="1157">
                  <c:v>289.25</c:v>
                </c:pt>
                <c:pt idx="1158">
                  <c:v>289.5</c:v>
                </c:pt>
                <c:pt idx="1159">
                  <c:v>289.75</c:v>
                </c:pt>
                <c:pt idx="1160">
                  <c:v>290</c:v>
                </c:pt>
                <c:pt idx="1161">
                  <c:v>290.25</c:v>
                </c:pt>
                <c:pt idx="1162">
                  <c:v>290.5</c:v>
                </c:pt>
                <c:pt idx="1163">
                  <c:v>290.75</c:v>
                </c:pt>
                <c:pt idx="1164">
                  <c:v>291</c:v>
                </c:pt>
                <c:pt idx="1165">
                  <c:v>291.25</c:v>
                </c:pt>
                <c:pt idx="1166">
                  <c:v>291.5</c:v>
                </c:pt>
                <c:pt idx="1167">
                  <c:v>291.75</c:v>
                </c:pt>
                <c:pt idx="1168">
                  <c:v>292</c:v>
                </c:pt>
                <c:pt idx="1169">
                  <c:v>292.25</c:v>
                </c:pt>
                <c:pt idx="1170">
                  <c:v>292.5</c:v>
                </c:pt>
                <c:pt idx="1171">
                  <c:v>292.75</c:v>
                </c:pt>
                <c:pt idx="1172">
                  <c:v>293</c:v>
                </c:pt>
                <c:pt idx="1173">
                  <c:v>293.25</c:v>
                </c:pt>
                <c:pt idx="1174">
                  <c:v>293.5</c:v>
                </c:pt>
                <c:pt idx="1175">
                  <c:v>293.75</c:v>
                </c:pt>
                <c:pt idx="1176">
                  <c:v>294</c:v>
                </c:pt>
                <c:pt idx="1177">
                  <c:v>294.25</c:v>
                </c:pt>
                <c:pt idx="1178">
                  <c:v>294.5</c:v>
                </c:pt>
                <c:pt idx="1179">
                  <c:v>294.75</c:v>
                </c:pt>
                <c:pt idx="1180">
                  <c:v>295</c:v>
                </c:pt>
                <c:pt idx="1181">
                  <c:v>295.25</c:v>
                </c:pt>
                <c:pt idx="1182">
                  <c:v>295.5</c:v>
                </c:pt>
                <c:pt idx="1183">
                  <c:v>295.75</c:v>
                </c:pt>
                <c:pt idx="1184">
                  <c:v>296</c:v>
                </c:pt>
                <c:pt idx="1185">
                  <c:v>296.25</c:v>
                </c:pt>
                <c:pt idx="1186">
                  <c:v>296.5</c:v>
                </c:pt>
                <c:pt idx="1187">
                  <c:v>296.75</c:v>
                </c:pt>
                <c:pt idx="1188">
                  <c:v>297</c:v>
                </c:pt>
                <c:pt idx="1189">
                  <c:v>297.25</c:v>
                </c:pt>
                <c:pt idx="1190">
                  <c:v>297.5</c:v>
                </c:pt>
                <c:pt idx="1191">
                  <c:v>297.75</c:v>
                </c:pt>
                <c:pt idx="1192">
                  <c:v>298</c:v>
                </c:pt>
                <c:pt idx="1193">
                  <c:v>298.25</c:v>
                </c:pt>
                <c:pt idx="1194">
                  <c:v>298.5</c:v>
                </c:pt>
                <c:pt idx="1195">
                  <c:v>298.75</c:v>
                </c:pt>
                <c:pt idx="1196">
                  <c:v>299</c:v>
                </c:pt>
                <c:pt idx="1197">
                  <c:v>299.25</c:v>
                </c:pt>
                <c:pt idx="1198">
                  <c:v>299.5</c:v>
                </c:pt>
                <c:pt idx="1199">
                  <c:v>299.75</c:v>
                </c:pt>
                <c:pt idx="1200">
                  <c:v>300</c:v>
                </c:pt>
                <c:pt idx="1201">
                  <c:v>300.25</c:v>
                </c:pt>
                <c:pt idx="1202">
                  <c:v>300.5</c:v>
                </c:pt>
                <c:pt idx="1203">
                  <c:v>300.75</c:v>
                </c:pt>
                <c:pt idx="1204">
                  <c:v>301</c:v>
                </c:pt>
                <c:pt idx="1205">
                  <c:v>301.25</c:v>
                </c:pt>
                <c:pt idx="1206">
                  <c:v>301.5</c:v>
                </c:pt>
                <c:pt idx="1207">
                  <c:v>301.75</c:v>
                </c:pt>
                <c:pt idx="1208">
                  <c:v>302</c:v>
                </c:pt>
                <c:pt idx="1209">
                  <c:v>302.25</c:v>
                </c:pt>
                <c:pt idx="1210">
                  <c:v>302.5</c:v>
                </c:pt>
                <c:pt idx="1211">
                  <c:v>302.75</c:v>
                </c:pt>
                <c:pt idx="1212">
                  <c:v>303</c:v>
                </c:pt>
                <c:pt idx="1213">
                  <c:v>303.25</c:v>
                </c:pt>
                <c:pt idx="1214">
                  <c:v>303.5</c:v>
                </c:pt>
                <c:pt idx="1215">
                  <c:v>303.75</c:v>
                </c:pt>
                <c:pt idx="1216">
                  <c:v>304</c:v>
                </c:pt>
                <c:pt idx="1217">
                  <c:v>304.25</c:v>
                </c:pt>
                <c:pt idx="1218">
                  <c:v>304.5</c:v>
                </c:pt>
                <c:pt idx="1219">
                  <c:v>304.75</c:v>
                </c:pt>
                <c:pt idx="1220">
                  <c:v>305</c:v>
                </c:pt>
                <c:pt idx="1221">
                  <c:v>305.25</c:v>
                </c:pt>
                <c:pt idx="1222">
                  <c:v>305.5</c:v>
                </c:pt>
                <c:pt idx="1223">
                  <c:v>305.75</c:v>
                </c:pt>
                <c:pt idx="1224">
                  <c:v>306</c:v>
                </c:pt>
                <c:pt idx="1225">
                  <c:v>306.25</c:v>
                </c:pt>
                <c:pt idx="1226">
                  <c:v>306.5</c:v>
                </c:pt>
                <c:pt idx="1227">
                  <c:v>306.75</c:v>
                </c:pt>
                <c:pt idx="1228">
                  <c:v>307</c:v>
                </c:pt>
                <c:pt idx="1229">
                  <c:v>307.25</c:v>
                </c:pt>
                <c:pt idx="1230">
                  <c:v>307.5</c:v>
                </c:pt>
                <c:pt idx="1231">
                  <c:v>307.75</c:v>
                </c:pt>
                <c:pt idx="1232">
                  <c:v>308</c:v>
                </c:pt>
                <c:pt idx="1233">
                  <c:v>308.25</c:v>
                </c:pt>
                <c:pt idx="1234">
                  <c:v>308.5</c:v>
                </c:pt>
                <c:pt idx="1235">
                  <c:v>308.75</c:v>
                </c:pt>
                <c:pt idx="1236">
                  <c:v>309</c:v>
                </c:pt>
                <c:pt idx="1237">
                  <c:v>309.25</c:v>
                </c:pt>
                <c:pt idx="1238">
                  <c:v>309.5</c:v>
                </c:pt>
                <c:pt idx="1239">
                  <c:v>309.75</c:v>
                </c:pt>
                <c:pt idx="1240">
                  <c:v>310</c:v>
                </c:pt>
                <c:pt idx="1241">
                  <c:v>310.25</c:v>
                </c:pt>
                <c:pt idx="1242">
                  <c:v>310.5</c:v>
                </c:pt>
                <c:pt idx="1243">
                  <c:v>310.75</c:v>
                </c:pt>
                <c:pt idx="1244">
                  <c:v>311</c:v>
                </c:pt>
                <c:pt idx="1245">
                  <c:v>311.25</c:v>
                </c:pt>
                <c:pt idx="1246">
                  <c:v>311.5</c:v>
                </c:pt>
                <c:pt idx="1247">
                  <c:v>311.75</c:v>
                </c:pt>
                <c:pt idx="1248">
                  <c:v>312</c:v>
                </c:pt>
                <c:pt idx="1249">
                  <c:v>312.25</c:v>
                </c:pt>
                <c:pt idx="1250">
                  <c:v>312.5</c:v>
                </c:pt>
                <c:pt idx="1251">
                  <c:v>312.75</c:v>
                </c:pt>
                <c:pt idx="1252">
                  <c:v>313</c:v>
                </c:pt>
                <c:pt idx="1253">
                  <c:v>313.25</c:v>
                </c:pt>
                <c:pt idx="1254">
                  <c:v>313.5</c:v>
                </c:pt>
                <c:pt idx="1255">
                  <c:v>313.75</c:v>
                </c:pt>
                <c:pt idx="1256">
                  <c:v>314</c:v>
                </c:pt>
                <c:pt idx="1257">
                  <c:v>314.25</c:v>
                </c:pt>
                <c:pt idx="1258">
                  <c:v>314.5</c:v>
                </c:pt>
                <c:pt idx="1259">
                  <c:v>314.75</c:v>
                </c:pt>
                <c:pt idx="1260">
                  <c:v>315</c:v>
                </c:pt>
                <c:pt idx="1261">
                  <c:v>315.25</c:v>
                </c:pt>
                <c:pt idx="1262">
                  <c:v>315.5</c:v>
                </c:pt>
                <c:pt idx="1263">
                  <c:v>315.75</c:v>
                </c:pt>
                <c:pt idx="1264">
                  <c:v>316</c:v>
                </c:pt>
                <c:pt idx="1265">
                  <c:v>316.25</c:v>
                </c:pt>
                <c:pt idx="1266">
                  <c:v>316.5</c:v>
                </c:pt>
                <c:pt idx="1267">
                  <c:v>316.75</c:v>
                </c:pt>
                <c:pt idx="1268">
                  <c:v>317</c:v>
                </c:pt>
                <c:pt idx="1269">
                  <c:v>317.25</c:v>
                </c:pt>
                <c:pt idx="1270">
                  <c:v>317.5</c:v>
                </c:pt>
                <c:pt idx="1271">
                  <c:v>317.75</c:v>
                </c:pt>
                <c:pt idx="1272">
                  <c:v>318</c:v>
                </c:pt>
                <c:pt idx="1273">
                  <c:v>318.25</c:v>
                </c:pt>
                <c:pt idx="1274">
                  <c:v>318.5</c:v>
                </c:pt>
                <c:pt idx="1275">
                  <c:v>318.75</c:v>
                </c:pt>
                <c:pt idx="1276">
                  <c:v>319</c:v>
                </c:pt>
                <c:pt idx="1277">
                  <c:v>319.25</c:v>
                </c:pt>
                <c:pt idx="1278">
                  <c:v>319.5</c:v>
                </c:pt>
                <c:pt idx="1279">
                  <c:v>319.75</c:v>
                </c:pt>
                <c:pt idx="1280">
                  <c:v>320</c:v>
                </c:pt>
                <c:pt idx="1281">
                  <c:v>320.25</c:v>
                </c:pt>
                <c:pt idx="1282">
                  <c:v>320.5</c:v>
                </c:pt>
                <c:pt idx="1283">
                  <c:v>320.75</c:v>
                </c:pt>
                <c:pt idx="1284">
                  <c:v>321</c:v>
                </c:pt>
                <c:pt idx="1285">
                  <c:v>321.25</c:v>
                </c:pt>
                <c:pt idx="1286">
                  <c:v>321.5</c:v>
                </c:pt>
                <c:pt idx="1287">
                  <c:v>321.75</c:v>
                </c:pt>
                <c:pt idx="1288">
                  <c:v>322</c:v>
                </c:pt>
                <c:pt idx="1289">
                  <c:v>322.25</c:v>
                </c:pt>
                <c:pt idx="1290">
                  <c:v>322.5</c:v>
                </c:pt>
                <c:pt idx="1291">
                  <c:v>322.75</c:v>
                </c:pt>
                <c:pt idx="1292">
                  <c:v>323</c:v>
                </c:pt>
                <c:pt idx="1293">
                  <c:v>323.25</c:v>
                </c:pt>
                <c:pt idx="1294">
                  <c:v>323.5</c:v>
                </c:pt>
                <c:pt idx="1295">
                  <c:v>323.75</c:v>
                </c:pt>
                <c:pt idx="1296">
                  <c:v>324</c:v>
                </c:pt>
                <c:pt idx="1297">
                  <c:v>324.25</c:v>
                </c:pt>
                <c:pt idx="1298">
                  <c:v>324.5</c:v>
                </c:pt>
                <c:pt idx="1299">
                  <c:v>324.75</c:v>
                </c:pt>
                <c:pt idx="1300">
                  <c:v>325</c:v>
                </c:pt>
                <c:pt idx="1301">
                  <c:v>325.25</c:v>
                </c:pt>
                <c:pt idx="1302">
                  <c:v>325.5</c:v>
                </c:pt>
                <c:pt idx="1303">
                  <c:v>325.75</c:v>
                </c:pt>
                <c:pt idx="1304">
                  <c:v>326</c:v>
                </c:pt>
                <c:pt idx="1305">
                  <c:v>326.25</c:v>
                </c:pt>
                <c:pt idx="1306">
                  <c:v>326.5</c:v>
                </c:pt>
                <c:pt idx="1307">
                  <c:v>326.75</c:v>
                </c:pt>
                <c:pt idx="1308">
                  <c:v>327</c:v>
                </c:pt>
                <c:pt idx="1309">
                  <c:v>327.25</c:v>
                </c:pt>
                <c:pt idx="1310">
                  <c:v>327.5</c:v>
                </c:pt>
                <c:pt idx="1311">
                  <c:v>327.75</c:v>
                </c:pt>
                <c:pt idx="1312">
                  <c:v>328</c:v>
                </c:pt>
                <c:pt idx="1313">
                  <c:v>328.25</c:v>
                </c:pt>
                <c:pt idx="1314">
                  <c:v>328.5</c:v>
                </c:pt>
                <c:pt idx="1315">
                  <c:v>328.75</c:v>
                </c:pt>
                <c:pt idx="1316">
                  <c:v>329</c:v>
                </c:pt>
                <c:pt idx="1317">
                  <c:v>329.25</c:v>
                </c:pt>
                <c:pt idx="1318">
                  <c:v>329.5</c:v>
                </c:pt>
                <c:pt idx="1319">
                  <c:v>329.75</c:v>
                </c:pt>
                <c:pt idx="1320">
                  <c:v>330</c:v>
                </c:pt>
                <c:pt idx="1321">
                  <c:v>330.25</c:v>
                </c:pt>
                <c:pt idx="1322">
                  <c:v>330.5</c:v>
                </c:pt>
                <c:pt idx="1323">
                  <c:v>330.75</c:v>
                </c:pt>
                <c:pt idx="1324">
                  <c:v>331</c:v>
                </c:pt>
                <c:pt idx="1325">
                  <c:v>331.25</c:v>
                </c:pt>
                <c:pt idx="1326">
                  <c:v>331.5</c:v>
                </c:pt>
                <c:pt idx="1327">
                  <c:v>331.75</c:v>
                </c:pt>
                <c:pt idx="1328">
                  <c:v>332</c:v>
                </c:pt>
                <c:pt idx="1329">
                  <c:v>332.25</c:v>
                </c:pt>
                <c:pt idx="1330">
                  <c:v>332.5</c:v>
                </c:pt>
                <c:pt idx="1331">
                  <c:v>332.75</c:v>
                </c:pt>
                <c:pt idx="1332">
                  <c:v>333</c:v>
                </c:pt>
                <c:pt idx="1333">
                  <c:v>333.25</c:v>
                </c:pt>
                <c:pt idx="1334">
                  <c:v>333.5</c:v>
                </c:pt>
                <c:pt idx="1335">
                  <c:v>333.75</c:v>
                </c:pt>
                <c:pt idx="1336">
                  <c:v>334</c:v>
                </c:pt>
                <c:pt idx="1337">
                  <c:v>334.25</c:v>
                </c:pt>
                <c:pt idx="1338">
                  <c:v>334.5</c:v>
                </c:pt>
                <c:pt idx="1339">
                  <c:v>334.75</c:v>
                </c:pt>
                <c:pt idx="1340">
                  <c:v>335</c:v>
                </c:pt>
                <c:pt idx="1341">
                  <c:v>335.25</c:v>
                </c:pt>
                <c:pt idx="1342">
                  <c:v>335.5</c:v>
                </c:pt>
                <c:pt idx="1343">
                  <c:v>335.75</c:v>
                </c:pt>
                <c:pt idx="1344">
                  <c:v>336</c:v>
                </c:pt>
                <c:pt idx="1345">
                  <c:v>336.25</c:v>
                </c:pt>
                <c:pt idx="1346">
                  <c:v>336.5</c:v>
                </c:pt>
                <c:pt idx="1347">
                  <c:v>336.75</c:v>
                </c:pt>
                <c:pt idx="1348">
                  <c:v>337</c:v>
                </c:pt>
                <c:pt idx="1349">
                  <c:v>337.25</c:v>
                </c:pt>
                <c:pt idx="1350">
                  <c:v>337.5</c:v>
                </c:pt>
                <c:pt idx="1351">
                  <c:v>337.75</c:v>
                </c:pt>
                <c:pt idx="1352">
                  <c:v>338</c:v>
                </c:pt>
                <c:pt idx="1353">
                  <c:v>338.25</c:v>
                </c:pt>
                <c:pt idx="1354">
                  <c:v>338.5</c:v>
                </c:pt>
                <c:pt idx="1355">
                  <c:v>338.75</c:v>
                </c:pt>
                <c:pt idx="1356">
                  <c:v>339</c:v>
                </c:pt>
                <c:pt idx="1357">
                  <c:v>339.25</c:v>
                </c:pt>
                <c:pt idx="1358">
                  <c:v>339.5</c:v>
                </c:pt>
                <c:pt idx="1359">
                  <c:v>339.75</c:v>
                </c:pt>
                <c:pt idx="1360">
                  <c:v>340</c:v>
                </c:pt>
                <c:pt idx="1361">
                  <c:v>340.25</c:v>
                </c:pt>
                <c:pt idx="1362">
                  <c:v>340.5</c:v>
                </c:pt>
                <c:pt idx="1363">
                  <c:v>340.75</c:v>
                </c:pt>
                <c:pt idx="1364">
                  <c:v>341</c:v>
                </c:pt>
                <c:pt idx="1365">
                  <c:v>341.25</c:v>
                </c:pt>
                <c:pt idx="1366">
                  <c:v>341.5</c:v>
                </c:pt>
                <c:pt idx="1367">
                  <c:v>341.75</c:v>
                </c:pt>
                <c:pt idx="1368">
                  <c:v>342</c:v>
                </c:pt>
                <c:pt idx="1369">
                  <c:v>342.25</c:v>
                </c:pt>
                <c:pt idx="1370">
                  <c:v>342.5</c:v>
                </c:pt>
                <c:pt idx="1371">
                  <c:v>342.75</c:v>
                </c:pt>
                <c:pt idx="1372">
                  <c:v>343</c:v>
                </c:pt>
                <c:pt idx="1373">
                  <c:v>343.25</c:v>
                </c:pt>
                <c:pt idx="1374">
                  <c:v>343.5</c:v>
                </c:pt>
                <c:pt idx="1375">
                  <c:v>343.75</c:v>
                </c:pt>
                <c:pt idx="1376">
                  <c:v>344</c:v>
                </c:pt>
                <c:pt idx="1377">
                  <c:v>344.25</c:v>
                </c:pt>
                <c:pt idx="1378">
                  <c:v>344.5</c:v>
                </c:pt>
                <c:pt idx="1379">
                  <c:v>344.75</c:v>
                </c:pt>
                <c:pt idx="1380">
                  <c:v>345</c:v>
                </c:pt>
                <c:pt idx="1381">
                  <c:v>345.25</c:v>
                </c:pt>
                <c:pt idx="1382">
                  <c:v>345.5</c:v>
                </c:pt>
                <c:pt idx="1383">
                  <c:v>345.75</c:v>
                </c:pt>
                <c:pt idx="1384">
                  <c:v>346</c:v>
                </c:pt>
                <c:pt idx="1385">
                  <c:v>346.25</c:v>
                </c:pt>
                <c:pt idx="1386">
                  <c:v>346.5</c:v>
                </c:pt>
                <c:pt idx="1387">
                  <c:v>346.75</c:v>
                </c:pt>
                <c:pt idx="1388">
                  <c:v>347</c:v>
                </c:pt>
                <c:pt idx="1389">
                  <c:v>347.25</c:v>
                </c:pt>
                <c:pt idx="1390">
                  <c:v>347.5</c:v>
                </c:pt>
                <c:pt idx="1391">
                  <c:v>347.75</c:v>
                </c:pt>
                <c:pt idx="1392">
                  <c:v>348</c:v>
                </c:pt>
                <c:pt idx="1393">
                  <c:v>348.25</c:v>
                </c:pt>
                <c:pt idx="1394">
                  <c:v>348.5</c:v>
                </c:pt>
                <c:pt idx="1395">
                  <c:v>348.75</c:v>
                </c:pt>
                <c:pt idx="1396">
                  <c:v>349</c:v>
                </c:pt>
                <c:pt idx="1397">
                  <c:v>349.25</c:v>
                </c:pt>
                <c:pt idx="1398">
                  <c:v>349.5</c:v>
                </c:pt>
                <c:pt idx="1399">
                  <c:v>349.75</c:v>
                </c:pt>
                <c:pt idx="1400">
                  <c:v>350</c:v>
                </c:pt>
                <c:pt idx="1401">
                  <c:v>350.25</c:v>
                </c:pt>
                <c:pt idx="1402">
                  <c:v>350.5</c:v>
                </c:pt>
                <c:pt idx="1403">
                  <c:v>350.75</c:v>
                </c:pt>
                <c:pt idx="1404">
                  <c:v>351</c:v>
                </c:pt>
                <c:pt idx="1405">
                  <c:v>351.25</c:v>
                </c:pt>
                <c:pt idx="1406">
                  <c:v>351.5</c:v>
                </c:pt>
                <c:pt idx="1407">
                  <c:v>351.75</c:v>
                </c:pt>
                <c:pt idx="1408">
                  <c:v>352</c:v>
                </c:pt>
                <c:pt idx="1409">
                  <c:v>352.25</c:v>
                </c:pt>
                <c:pt idx="1410">
                  <c:v>352.5</c:v>
                </c:pt>
                <c:pt idx="1411">
                  <c:v>352.75</c:v>
                </c:pt>
                <c:pt idx="1412">
                  <c:v>353</c:v>
                </c:pt>
                <c:pt idx="1413">
                  <c:v>353.25</c:v>
                </c:pt>
                <c:pt idx="1414">
                  <c:v>353.5</c:v>
                </c:pt>
                <c:pt idx="1415">
                  <c:v>353.75</c:v>
                </c:pt>
                <c:pt idx="1416">
                  <c:v>354</c:v>
                </c:pt>
                <c:pt idx="1417">
                  <c:v>354.25</c:v>
                </c:pt>
                <c:pt idx="1418">
                  <c:v>354.5</c:v>
                </c:pt>
                <c:pt idx="1419">
                  <c:v>354.75</c:v>
                </c:pt>
                <c:pt idx="1420">
                  <c:v>355</c:v>
                </c:pt>
                <c:pt idx="1421">
                  <c:v>355.25</c:v>
                </c:pt>
                <c:pt idx="1422">
                  <c:v>355.5</c:v>
                </c:pt>
                <c:pt idx="1423">
                  <c:v>355.75</c:v>
                </c:pt>
                <c:pt idx="1424">
                  <c:v>356</c:v>
                </c:pt>
                <c:pt idx="1425">
                  <c:v>356.25</c:v>
                </c:pt>
                <c:pt idx="1426">
                  <c:v>356.5</c:v>
                </c:pt>
                <c:pt idx="1427">
                  <c:v>356.75</c:v>
                </c:pt>
                <c:pt idx="1428">
                  <c:v>357</c:v>
                </c:pt>
                <c:pt idx="1429">
                  <c:v>357.25</c:v>
                </c:pt>
                <c:pt idx="1430">
                  <c:v>357.5</c:v>
                </c:pt>
                <c:pt idx="1431">
                  <c:v>357.75</c:v>
                </c:pt>
                <c:pt idx="1432">
                  <c:v>358</c:v>
                </c:pt>
                <c:pt idx="1433">
                  <c:v>358.25</c:v>
                </c:pt>
                <c:pt idx="1434">
                  <c:v>358.5</c:v>
                </c:pt>
                <c:pt idx="1435">
                  <c:v>358.75</c:v>
                </c:pt>
                <c:pt idx="1436">
                  <c:v>359</c:v>
                </c:pt>
                <c:pt idx="1437">
                  <c:v>359.25</c:v>
                </c:pt>
                <c:pt idx="1438">
                  <c:v>359.5</c:v>
                </c:pt>
                <c:pt idx="1439">
                  <c:v>359.75</c:v>
                </c:pt>
                <c:pt idx="1440">
                  <c:v>360</c:v>
                </c:pt>
                <c:pt idx="1441">
                  <c:v>360.25</c:v>
                </c:pt>
                <c:pt idx="1442">
                  <c:v>360.5</c:v>
                </c:pt>
                <c:pt idx="1443">
                  <c:v>360.75</c:v>
                </c:pt>
                <c:pt idx="1444">
                  <c:v>361</c:v>
                </c:pt>
                <c:pt idx="1445">
                  <c:v>361.25</c:v>
                </c:pt>
                <c:pt idx="1446">
                  <c:v>361.5</c:v>
                </c:pt>
                <c:pt idx="1447">
                  <c:v>361.75</c:v>
                </c:pt>
                <c:pt idx="1448">
                  <c:v>362</c:v>
                </c:pt>
                <c:pt idx="1449">
                  <c:v>362.25</c:v>
                </c:pt>
                <c:pt idx="1450">
                  <c:v>362.5</c:v>
                </c:pt>
                <c:pt idx="1451">
                  <c:v>362.75</c:v>
                </c:pt>
                <c:pt idx="1452">
                  <c:v>363</c:v>
                </c:pt>
                <c:pt idx="1453">
                  <c:v>363.25</c:v>
                </c:pt>
                <c:pt idx="1454">
                  <c:v>363.5</c:v>
                </c:pt>
                <c:pt idx="1455">
                  <c:v>363.75</c:v>
                </c:pt>
                <c:pt idx="1456">
                  <c:v>364</c:v>
                </c:pt>
                <c:pt idx="1457">
                  <c:v>364.25</c:v>
                </c:pt>
                <c:pt idx="1458">
                  <c:v>364.5</c:v>
                </c:pt>
                <c:pt idx="1459">
                  <c:v>364.75</c:v>
                </c:pt>
                <c:pt idx="1460">
                  <c:v>365</c:v>
                </c:pt>
                <c:pt idx="1461">
                  <c:v>365.25</c:v>
                </c:pt>
                <c:pt idx="1462">
                  <c:v>365.5</c:v>
                </c:pt>
                <c:pt idx="1463">
                  <c:v>365.75</c:v>
                </c:pt>
                <c:pt idx="1464">
                  <c:v>366</c:v>
                </c:pt>
                <c:pt idx="1465">
                  <c:v>366.25</c:v>
                </c:pt>
                <c:pt idx="1466">
                  <c:v>366.5</c:v>
                </c:pt>
                <c:pt idx="1467">
                  <c:v>366.75</c:v>
                </c:pt>
                <c:pt idx="1468">
                  <c:v>367</c:v>
                </c:pt>
                <c:pt idx="1469">
                  <c:v>367.25</c:v>
                </c:pt>
                <c:pt idx="1470">
                  <c:v>367.5</c:v>
                </c:pt>
                <c:pt idx="1471">
                  <c:v>367.75</c:v>
                </c:pt>
                <c:pt idx="1472">
                  <c:v>368</c:v>
                </c:pt>
                <c:pt idx="1473">
                  <c:v>368.25</c:v>
                </c:pt>
                <c:pt idx="1474">
                  <c:v>368.5</c:v>
                </c:pt>
                <c:pt idx="1475">
                  <c:v>368.75</c:v>
                </c:pt>
                <c:pt idx="1476">
                  <c:v>369</c:v>
                </c:pt>
                <c:pt idx="1477">
                  <c:v>369.25</c:v>
                </c:pt>
                <c:pt idx="1478">
                  <c:v>369.5</c:v>
                </c:pt>
                <c:pt idx="1479">
                  <c:v>369.75</c:v>
                </c:pt>
                <c:pt idx="1480">
                  <c:v>370</c:v>
                </c:pt>
                <c:pt idx="1481">
                  <c:v>370.25</c:v>
                </c:pt>
                <c:pt idx="1482">
                  <c:v>370.5</c:v>
                </c:pt>
                <c:pt idx="1483">
                  <c:v>370.75</c:v>
                </c:pt>
                <c:pt idx="1484">
                  <c:v>371</c:v>
                </c:pt>
                <c:pt idx="1485">
                  <c:v>371.25</c:v>
                </c:pt>
                <c:pt idx="1486">
                  <c:v>371.5</c:v>
                </c:pt>
                <c:pt idx="1487">
                  <c:v>371.75</c:v>
                </c:pt>
                <c:pt idx="1488">
                  <c:v>372</c:v>
                </c:pt>
                <c:pt idx="1489">
                  <c:v>372.25</c:v>
                </c:pt>
                <c:pt idx="1490">
                  <c:v>372.5</c:v>
                </c:pt>
                <c:pt idx="1491">
                  <c:v>372.75</c:v>
                </c:pt>
                <c:pt idx="1492">
                  <c:v>373</c:v>
                </c:pt>
                <c:pt idx="1493">
                  <c:v>373.25</c:v>
                </c:pt>
                <c:pt idx="1494">
                  <c:v>373.5</c:v>
                </c:pt>
                <c:pt idx="1495">
                  <c:v>373.75</c:v>
                </c:pt>
                <c:pt idx="1496">
                  <c:v>374</c:v>
                </c:pt>
                <c:pt idx="1497">
                  <c:v>374.25</c:v>
                </c:pt>
                <c:pt idx="1498">
                  <c:v>374.5</c:v>
                </c:pt>
                <c:pt idx="1499">
                  <c:v>374.75</c:v>
                </c:pt>
                <c:pt idx="1500">
                  <c:v>375</c:v>
                </c:pt>
                <c:pt idx="1501">
                  <c:v>375.25</c:v>
                </c:pt>
                <c:pt idx="1502">
                  <c:v>375.5</c:v>
                </c:pt>
                <c:pt idx="1503">
                  <c:v>375.75</c:v>
                </c:pt>
                <c:pt idx="1504">
                  <c:v>376</c:v>
                </c:pt>
                <c:pt idx="1505">
                  <c:v>376.25</c:v>
                </c:pt>
                <c:pt idx="1506">
                  <c:v>376.5</c:v>
                </c:pt>
                <c:pt idx="1507">
                  <c:v>376.75</c:v>
                </c:pt>
                <c:pt idx="1508">
                  <c:v>377</c:v>
                </c:pt>
                <c:pt idx="1509">
                  <c:v>377.25</c:v>
                </c:pt>
                <c:pt idx="1510">
                  <c:v>377.5</c:v>
                </c:pt>
                <c:pt idx="1511">
                  <c:v>377.75</c:v>
                </c:pt>
                <c:pt idx="1512">
                  <c:v>378</c:v>
                </c:pt>
                <c:pt idx="1513">
                  <c:v>378.25</c:v>
                </c:pt>
                <c:pt idx="1514">
                  <c:v>378.5</c:v>
                </c:pt>
                <c:pt idx="1515">
                  <c:v>378.75</c:v>
                </c:pt>
                <c:pt idx="1516">
                  <c:v>379</c:v>
                </c:pt>
                <c:pt idx="1517">
                  <c:v>379.25</c:v>
                </c:pt>
                <c:pt idx="1518">
                  <c:v>379.5</c:v>
                </c:pt>
                <c:pt idx="1519">
                  <c:v>379.75</c:v>
                </c:pt>
                <c:pt idx="1520">
                  <c:v>380</c:v>
                </c:pt>
                <c:pt idx="1521">
                  <c:v>380.25</c:v>
                </c:pt>
                <c:pt idx="1522">
                  <c:v>380.5</c:v>
                </c:pt>
                <c:pt idx="1523">
                  <c:v>380.75</c:v>
                </c:pt>
                <c:pt idx="1524">
                  <c:v>381</c:v>
                </c:pt>
                <c:pt idx="1525">
                  <c:v>381.25</c:v>
                </c:pt>
                <c:pt idx="1526">
                  <c:v>381.5</c:v>
                </c:pt>
                <c:pt idx="1527">
                  <c:v>381.75</c:v>
                </c:pt>
                <c:pt idx="1528">
                  <c:v>382</c:v>
                </c:pt>
                <c:pt idx="1529">
                  <c:v>382.25</c:v>
                </c:pt>
                <c:pt idx="1530">
                  <c:v>382.5</c:v>
                </c:pt>
                <c:pt idx="1531">
                  <c:v>382.75</c:v>
                </c:pt>
                <c:pt idx="1532">
                  <c:v>383</c:v>
                </c:pt>
                <c:pt idx="1533">
                  <c:v>383.25</c:v>
                </c:pt>
                <c:pt idx="1534">
                  <c:v>383.5</c:v>
                </c:pt>
                <c:pt idx="1535">
                  <c:v>383.75</c:v>
                </c:pt>
                <c:pt idx="1536">
                  <c:v>384</c:v>
                </c:pt>
                <c:pt idx="1537">
                  <c:v>384.25</c:v>
                </c:pt>
                <c:pt idx="1538">
                  <c:v>384.5</c:v>
                </c:pt>
                <c:pt idx="1539">
                  <c:v>384.75</c:v>
                </c:pt>
                <c:pt idx="1540">
                  <c:v>385</c:v>
                </c:pt>
                <c:pt idx="1541">
                  <c:v>385.25</c:v>
                </c:pt>
                <c:pt idx="1542">
                  <c:v>385.5</c:v>
                </c:pt>
                <c:pt idx="1543">
                  <c:v>385.75</c:v>
                </c:pt>
                <c:pt idx="1544">
                  <c:v>386</c:v>
                </c:pt>
                <c:pt idx="1545">
                  <c:v>386.25</c:v>
                </c:pt>
                <c:pt idx="1546">
                  <c:v>386.5</c:v>
                </c:pt>
                <c:pt idx="1547">
                  <c:v>386.75</c:v>
                </c:pt>
                <c:pt idx="1548">
                  <c:v>387</c:v>
                </c:pt>
                <c:pt idx="1549">
                  <c:v>387.25</c:v>
                </c:pt>
                <c:pt idx="1550">
                  <c:v>387.5</c:v>
                </c:pt>
                <c:pt idx="1551">
                  <c:v>387.75</c:v>
                </c:pt>
                <c:pt idx="1552">
                  <c:v>388</c:v>
                </c:pt>
                <c:pt idx="1553">
                  <c:v>388.25</c:v>
                </c:pt>
                <c:pt idx="1554">
                  <c:v>388.5</c:v>
                </c:pt>
                <c:pt idx="1555">
                  <c:v>388.75</c:v>
                </c:pt>
                <c:pt idx="1556">
                  <c:v>389</c:v>
                </c:pt>
                <c:pt idx="1557">
                  <c:v>389.25</c:v>
                </c:pt>
                <c:pt idx="1558">
                  <c:v>389.5</c:v>
                </c:pt>
                <c:pt idx="1559">
                  <c:v>389.75</c:v>
                </c:pt>
                <c:pt idx="1560">
                  <c:v>390</c:v>
                </c:pt>
                <c:pt idx="1561">
                  <c:v>390.25</c:v>
                </c:pt>
                <c:pt idx="1562">
                  <c:v>390.5</c:v>
                </c:pt>
                <c:pt idx="1563">
                  <c:v>390.75</c:v>
                </c:pt>
                <c:pt idx="1564">
                  <c:v>391</c:v>
                </c:pt>
                <c:pt idx="1565">
                  <c:v>391.25</c:v>
                </c:pt>
                <c:pt idx="1566">
                  <c:v>391.5</c:v>
                </c:pt>
                <c:pt idx="1567">
                  <c:v>391.75</c:v>
                </c:pt>
                <c:pt idx="1568">
                  <c:v>392</c:v>
                </c:pt>
                <c:pt idx="1569">
                  <c:v>392.25</c:v>
                </c:pt>
                <c:pt idx="1570">
                  <c:v>392.5</c:v>
                </c:pt>
                <c:pt idx="1571">
                  <c:v>392.75</c:v>
                </c:pt>
                <c:pt idx="1572">
                  <c:v>393</c:v>
                </c:pt>
                <c:pt idx="1573">
                  <c:v>393.25</c:v>
                </c:pt>
                <c:pt idx="1574">
                  <c:v>393.5</c:v>
                </c:pt>
                <c:pt idx="1575">
                  <c:v>393.75</c:v>
                </c:pt>
                <c:pt idx="1576">
                  <c:v>394</c:v>
                </c:pt>
                <c:pt idx="1577">
                  <c:v>394.25</c:v>
                </c:pt>
                <c:pt idx="1578">
                  <c:v>394.5</c:v>
                </c:pt>
                <c:pt idx="1579">
                  <c:v>394.75</c:v>
                </c:pt>
                <c:pt idx="1580">
                  <c:v>395</c:v>
                </c:pt>
                <c:pt idx="1581">
                  <c:v>395.25</c:v>
                </c:pt>
                <c:pt idx="1582">
                  <c:v>395.5</c:v>
                </c:pt>
                <c:pt idx="1583">
                  <c:v>395.75</c:v>
                </c:pt>
                <c:pt idx="1584">
                  <c:v>396</c:v>
                </c:pt>
                <c:pt idx="1585">
                  <c:v>396.25</c:v>
                </c:pt>
                <c:pt idx="1586">
                  <c:v>396.5</c:v>
                </c:pt>
                <c:pt idx="1587">
                  <c:v>396.75</c:v>
                </c:pt>
                <c:pt idx="1588">
                  <c:v>397</c:v>
                </c:pt>
                <c:pt idx="1589">
                  <c:v>397.25</c:v>
                </c:pt>
                <c:pt idx="1590">
                  <c:v>397.5</c:v>
                </c:pt>
                <c:pt idx="1591">
                  <c:v>397.75</c:v>
                </c:pt>
                <c:pt idx="1592">
                  <c:v>398</c:v>
                </c:pt>
                <c:pt idx="1593">
                  <c:v>398.25</c:v>
                </c:pt>
                <c:pt idx="1594">
                  <c:v>398.5</c:v>
                </c:pt>
                <c:pt idx="1595">
                  <c:v>398.75</c:v>
                </c:pt>
                <c:pt idx="1596">
                  <c:v>399</c:v>
                </c:pt>
                <c:pt idx="1597">
                  <c:v>399.25</c:v>
                </c:pt>
                <c:pt idx="1598">
                  <c:v>399.5</c:v>
                </c:pt>
                <c:pt idx="1599">
                  <c:v>399.75</c:v>
                </c:pt>
                <c:pt idx="1600">
                  <c:v>400</c:v>
                </c:pt>
                <c:pt idx="1601">
                  <c:v>400.25</c:v>
                </c:pt>
                <c:pt idx="1602">
                  <c:v>400.5</c:v>
                </c:pt>
                <c:pt idx="1603">
                  <c:v>400.75</c:v>
                </c:pt>
                <c:pt idx="1604">
                  <c:v>401</c:v>
                </c:pt>
                <c:pt idx="1605">
                  <c:v>401.25</c:v>
                </c:pt>
                <c:pt idx="1606">
                  <c:v>401.5</c:v>
                </c:pt>
                <c:pt idx="1607">
                  <c:v>401.75</c:v>
                </c:pt>
                <c:pt idx="1608">
                  <c:v>402</c:v>
                </c:pt>
                <c:pt idx="1609">
                  <c:v>402.25</c:v>
                </c:pt>
                <c:pt idx="1610">
                  <c:v>402.5</c:v>
                </c:pt>
                <c:pt idx="1611">
                  <c:v>402.75</c:v>
                </c:pt>
                <c:pt idx="1612">
                  <c:v>403</c:v>
                </c:pt>
                <c:pt idx="1613">
                  <c:v>403.25</c:v>
                </c:pt>
                <c:pt idx="1614">
                  <c:v>403.5</c:v>
                </c:pt>
                <c:pt idx="1615">
                  <c:v>403.75</c:v>
                </c:pt>
                <c:pt idx="1616">
                  <c:v>404</c:v>
                </c:pt>
                <c:pt idx="1617">
                  <c:v>404.25</c:v>
                </c:pt>
                <c:pt idx="1618">
                  <c:v>404.5</c:v>
                </c:pt>
                <c:pt idx="1619">
                  <c:v>404.75</c:v>
                </c:pt>
                <c:pt idx="1620">
                  <c:v>405</c:v>
                </c:pt>
                <c:pt idx="1621">
                  <c:v>405.25</c:v>
                </c:pt>
                <c:pt idx="1622">
                  <c:v>405.5</c:v>
                </c:pt>
                <c:pt idx="1623">
                  <c:v>405.75</c:v>
                </c:pt>
                <c:pt idx="1624">
                  <c:v>406</c:v>
                </c:pt>
                <c:pt idx="1625">
                  <c:v>406.25</c:v>
                </c:pt>
                <c:pt idx="1626">
                  <c:v>406.5</c:v>
                </c:pt>
                <c:pt idx="1627">
                  <c:v>406.75</c:v>
                </c:pt>
                <c:pt idx="1628">
                  <c:v>407</c:v>
                </c:pt>
                <c:pt idx="1629">
                  <c:v>407.25</c:v>
                </c:pt>
                <c:pt idx="1630">
                  <c:v>407.5</c:v>
                </c:pt>
                <c:pt idx="1631">
                  <c:v>407.75</c:v>
                </c:pt>
                <c:pt idx="1632">
                  <c:v>408</c:v>
                </c:pt>
                <c:pt idx="1633">
                  <c:v>408.25</c:v>
                </c:pt>
                <c:pt idx="1634">
                  <c:v>408.5</c:v>
                </c:pt>
                <c:pt idx="1635">
                  <c:v>408.75</c:v>
                </c:pt>
                <c:pt idx="1636">
                  <c:v>409</c:v>
                </c:pt>
                <c:pt idx="1637">
                  <c:v>409.25</c:v>
                </c:pt>
                <c:pt idx="1638">
                  <c:v>409.5</c:v>
                </c:pt>
                <c:pt idx="1639">
                  <c:v>409.75</c:v>
                </c:pt>
                <c:pt idx="1640">
                  <c:v>410</c:v>
                </c:pt>
                <c:pt idx="1641">
                  <c:v>410.25</c:v>
                </c:pt>
                <c:pt idx="1642">
                  <c:v>410.5</c:v>
                </c:pt>
                <c:pt idx="1643">
                  <c:v>410.75</c:v>
                </c:pt>
                <c:pt idx="1644">
                  <c:v>411</c:v>
                </c:pt>
                <c:pt idx="1645">
                  <c:v>411.25</c:v>
                </c:pt>
                <c:pt idx="1646">
                  <c:v>411.5</c:v>
                </c:pt>
                <c:pt idx="1647">
                  <c:v>411.75</c:v>
                </c:pt>
                <c:pt idx="1648">
                  <c:v>412</c:v>
                </c:pt>
                <c:pt idx="1649">
                  <c:v>412.25</c:v>
                </c:pt>
                <c:pt idx="1650">
                  <c:v>412.5</c:v>
                </c:pt>
                <c:pt idx="1651">
                  <c:v>412.75</c:v>
                </c:pt>
                <c:pt idx="1652">
                  <c:v>413</c:v>
                </c:pt>
                <c:pt idx="1653">
                  <c:v>413.25</c:v>
                </c:pt>
                <c:pt idx="1654">
                  <c:v>413.5</c:v>
                </c:pt>
                <c:pt idx="1655">
                  <c:v>413.75</c:v>
                </c:pt>
                <c:pt idx="1656">
                  <c:v>414</c:v>
                </c:pt>
                <c:pt idx="1657">
                  <c:v>414.25</c:v>
                </c:pt>
                <c:pt idx="1658">
                  <c:v>414.5</c:v>
                </c:pt>
                <c:pt idx="1659">
                  <c:v>414.75</c:v>
                </c:pt>
                <c:pt idx="1660">
                  <c:v>415</c:v>
                </c:pt>
                <c:pt idx="1661">
                  <c:v>415.25</c:v>
                </c:pt>
                <c:pt idx="1662">
                  <c:v>415.5</c:v>
                </c:pt>
                <c:pt idx="1663">
                  <c:v>415.75</c:v>
                </c:pt>
                <c:pt idx="1664">
                  <c:v>416</c:v>
                </c:pt>
                <c:pt idx="1665">
                  <c:v>416.25</c:v>
                </c:pt>
                <c:pt idx="1666">
                  <c:v>416.5</c:v>
                </c:pt>
                <c:pt idx="1667">
                  <c:v>416.75</c:v>
                </c:pt>
                <c:pt idx="1668">
                  <c:v>417</c:v>
                </c:pt>
                <c:pt idx="1669">
                  <c:v>417.25</c:v>
                </c:pt>
                <c:pt idx="1670">
                  <c:v>417.5</c:v>
                </c:pt>
                <c:pt idx="1671">
                  <c:v>417.75</c:v>
                </c:pt>
                <c:pt idx="1672">
                  <c:v>418</c:v>
                </c:pt>
                <c:pt idx="1673">
                  <c:v>418.25</c:v>
                </c:pt>
                <c:pt idx="1674">
                  <c:v>418.5</c:v>
                </c:pt>
                <c:pt idx="1675">
                  <c:v>418.75</c:v>
                </c:pt>
                <c:pt idx="1676">
                  <c:v>419</c:v>
                </c:pt>
                <c:pt idx="1677">
                  <c:v>419.25</c:v>
                </c:pt>
                <c:pt idx="1678">
                  <c:v>419.5</c:v>
                </c:pt>
                <c:pt idx="1679">
                  <c:v>419.75</c:v>
                </c:pt>
                <c:pt idx="1680">
                  <c:v>420</c:v>
                </c:pt>
                <c:pt idx="1681">
                  <c:v>420.25</c:v>
                </c:pt>
                <c:pt idx="1682">
                  <c:v>420.5</c:v>
                </c:pt>
                <c:pt idx="1683">
                  <c:v>420.75</c:v>
                </c:pt>
                <c:pt idx="1684">
                  <c:v>421</c:v>
                </c:pt>
                <c:pt idx="1685">
                  <c:v>421.25</c:v>
                </c:pt>
                <c:pt idx="1686">
                  <c:v>421.5</c:v>
                </c:pt>
                <c:pt idx="1687">
                  <c:v>421.75</c:v>
                </c:pt>
                <c:pt idx="1688">
                  <c:v>422</c:v>
                </c:pt>
                <c:pt idx="1689">
                  <c:v>422.25</c:v>
                </c:pt>
                <c:pt idx="1690">
                  <c:v>422.5</c:v>
                </c:pt>
                <c:pt idx="1691">
                  <c:v>422.75</c:v>
                </c:pt>
                <c:pt idx="1692">
                  <c:v>423</c:v>
                </c:pt>
                <c:pt idx="1693">
                  <c:v>423.25</c:v>
                </c:pt>
                <c:pt idx="1694">
                  <c:v>423.5</c:v>
                </c:pt>
                <c:pt idx="1695">
                  <c:v>423.75</c:v>
                </c:pt>
                <c:pt idx="1696">
                  <c:v>424</c:v>
                </c:pt>
                <c:pt idx="1697">
                  <c:v>424.25</c:v>
                </c:pt>
                <c:pt idx="1698">
                  <c:v>424.5</c:v>
                </c:pt>
                <c:pt idx="1699">
                  <c:v>424.75</c:v>
                </c:pt>
                <c:pt idx="1700">
                  <c:v>425</c:v>
                </c:pt>
                <c:pt idx="1701">
                  <c:v>425.25</c:v>
                </c:pt>
                <c:pt idx="1702">
                  <c:v>425.5</c:v>
                </c:pt>
                <c:pt idx="1703">
                  <c:v>425.75</c:v>
                </c:pt>
                <c:pt idx="1704">
                  <c:v>426</c:v>
                </c:pt>
                <c:pt idx="1705">
                  <c:v>426.25</c:v>
                </c:pt>
                <c:pt idx="1706">
                  <c:v>426.5</c:v>
                </c:pt>
                <c:pt idx="1707">
                  <c:v>426.75</c:v>
                </c:pt>
                <c:pt idx="1708">
                  <c:v>427</c:v>
                </c:pt>
                <c:pt idx="1709">
                  <c:v>427.25</c:v>
                </c:pt>
                <c:pt idx="1710">
                  <c:v>427.5</c:v>
                </c:pt>
                <c:pt idx="1711">
                  <c:v>427.75</c:v>
                </c:pt>
                <c:pt idx="1712">
                  <c:v>428</c:v>
                </c:pt>
                <c:pt idx="1713">
                  <c:v>428.25</c:v>
                </c:pt>
                <c:pt idx="1714">
                  <c:v>428.5</c:v>
                </c:pt>
                <c:pt idx="1715">
                  <c:v>428.75</c:v>
                </c:pt>
                <c:pt idx="1716">
                  <c:v>429</c:v>
                </c:pt>
                <c:pt idx="1717">
                  <c:v>429.25</c:v>
                </c:pt>
                <c:pt idx="1718">
                  <c:v>429.5</c:v>
                </c:pt>
              </c:strCache>
            </c:strRef>
          </c:cat>
          <c:val>
            <c:numRef>
              <c:f>Production!$K$3:$K$1721</c:f>
              <c:numCache>
                <c:formatCode>General</c:formatCode>
                <c:ptCount val="17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0.2</c:v>
                </c:pt>
                <c:pt idx="279">
                  <c:v>0.7</c:v>
                </c:pt>
                <c:pt idx="280">
                  <c:v>0.6</c:v>
                </c:pt>
                <c:pt idx="281">
                  <c:v>0.5</c:v>
                </c:pt>
                <c:pt idx="282">
                  <c:v>0.5</c:v>
                </c:pt>
                <c:pt idx="283">
                  <c:v>0.5</c:v>
                </c:pt>
                <c:pt idx="284">
                  <c:v>0.5</c:v>
                </c:pt>
                <c:pt idx="285">
                  <c:v>0.5</c:v>
                </c:pt>
                <c:pt idx="286">
                  <c:v>0.2</c:v>
                </c:pt>
                <c:pt idx="287">
                  <c:v>0.1</c:v>
                </c:pt>
                <c:pt idx="288">
                  <c:v>0.1</c:v>
                </c:pt>
                <c:pt idx="289">
                  <c:v>0.1</c:v>
                </c:pt>
                <c:pt idx="290">
                  <c:v>0.1</c:v>
                </c:pt>
                <c:pt idx="291">
                  <c:v>0.1</c:v>
                </c:pt>
                <c:pt idx="292">
                  <c:v>0.1</c:v>
                </c:pt>
                <c:pt idx="293">
                  <c:v>0.1</c:v>
                </c:pt>
                <c:pt idx="294">
                  <c:v>0.1</c:v>
                </c:pt>
                <c:pt idx="295">
                  <c:v>0.1</c:v>
                </c:pt>
                <c:pt idx="296">
                  <c:v>0.1</c:v>
                </c:pt>
                <c:pt idx="297">
                  <c:v>0.1</c:v>
                </c:pt>
                <c:pt idx="298">
                  <c:v>0.1</c:v>
                </c:pt>
                <c:pt idx="299">
                  <c:v>0.1</c:v>
                </c:pt>
                <c:pt idx="300">
                  <c:v>0.1</c:v>
                </c:pt>
                <c:pt idx="301">
                  <c:v>0.1</c:v>
                </c:pt>
                <c:pt idx="302">
                  <c:v>0.1</c:v>
                </c:pt>
                <c:pt idx="303">
                  <c:v>0.1</c:v>
                </c:pt>
                <c:pt idx="304">
                  <c:v>0.1</c:v>
                </c:pt>
                <c:pt idx="305">
                  <c:v>0.1</c:v>
                </c:pt>
                <c:pt idx="306">
                  <c:v>0.1</c:v>
                </c:pt>
                <c:pt idx="307">
                  <c:v>0.1</c:v>
                </c:pt>
                <c:pt idx="308">
                  <c:v>0.1</c:v>
                </c:pt>
                <c:pt idx="309">
                  <c:v>0.1</c:v>
                </c:pt>
                <c:pt idx="310">
                  <c:v>0.1</c:v>
                </c:pt>
                <c:pt idx="311">
                  <c:v>0.1</c:v>
                </c:pt>
                <c:pt idx="312">
                  <c:v>0.1</c:v>
                </c:pt>
                <c:pt idx="313">
                  <c:v>0.1</c:v>
                </c:pt>
                <c:pt idx="314">
                  <c:v>0.1</c:v>
                </c:pt>
                <c:pt idx="315">
                  <c:v>0.1</c:v>
                </c:pt>
                <c:pt idx="316">
                  <c:v>0.1</c:v>
                </c:pt>
                <c:pt idx="317">
                  <c:v>0.1</c:v>
                </c:pt>
                <c:pt idx="318">
                  <c:v>0.1</c:v>
                </c:pt>
                <c:pt idx="319">
                  <c:v>0.1</c:v>
                </c:pt>
                <c:pt idx="320">
                  <c:v>0.1</c:v>
                </c:pt>
                <c:pt idx="321">
                  <c:v>0.1</c:v>
                </c:pt>
                <c:pt idx="322">
                  <c:v>0.1</c:v>
                </c:pt>
                <c:pt idx="323">
                  <c:v>0.1</c:v>
                </c:pt>
                <c:pt idx="324">
                  <c:v>0.1</c:v>
                </c:pt>
                <c:pt idx="325">
                  <c:v>0.1</c:v>
                </c:pt>
                <c:pt idx="326">
                  <c:v>0.1</c:v>
                </c:pt>
                <c:pt idx="327">
                  <c:v>0.1</c:v>
                </c:pt>
                <c:pt idx="328">
                  <c:v>0.1</c:v>
                </c:pt>
                <c:pt idx="329">
                  <c:v>0.1</c:v>
                </c:pt>
                <c:pt idx="330">
                  <c:v>0.1</c:v>
                </c:pt>
                <c:pt idx="331">
                  <c:v>0.1</c:v>
                </c:pt>
                <c:pt idx="332">
                  <c:v>0.1</c:v>
                </c:pt>
                <c:pt idx="333">
                  <c:v>0.1</c:v>
                </c:pt>
                <c:pt idx="334">
                  <c:v>0.1</c:v>
                </c:pt>
                <c:pt idx="335">
                  <c:v>0.1</c:v>
                </c:pt>
                <c:pt idx="336">
                  <c:v>0.1</c:v>
                </c:pt>
                <c:pt idx="337">
                  <c:v>0.1</c:v>
                </c:pt>
                <c:pt idx="338">
                  <c:v>0.1</c:v>
                </c:pt>
                <c:pt idx="339">
                  <c:v>0.1</c:v>
                </c:pt>
                <c:pt idx="340">
                  <c:v>0.1</c:v>
                </c:pt>
                <c:pt idx="341">
                  <c:v>0.1</c:v>
                </c:pt>
                <c:pt idx="342">
                  <c:v>0.1</c:v>
                </c:pt>
                <c:pt idx="343">
                  <c:v>0.1</c:v>
                </c:pt>
                <c:pt idx="344">
                  <c:v>0.1</c:v>
                </c:pt>
                <c:pt idx="345">
                  <c:v>0.1</c:v>
                </c:pt>
                <c:pt idx="346">
                  <c:v>0.1</c:v>
                </c:pt>
                <c:pt idx="347">
                  <c:v>0.1</c:v>
                </c:pt>
                <c:pt idx="348">
                  <c:v>0.1</c:v>
                </c:pt>
                <c:pt idx="349">
                  <c:v>0.1</c:v>
                </c:pt>
                <c:pt idx="350">
                  <c:v>0.1</c:v>
                </c:pt>
                <c:pt idx="351">
                  <c:v>0.1</c:v>
                </c:pt>
                <c:pt idx="352">
                  <c:v>0.1</c:v>
                </c:pt>
                <c:pt idx="353">
                  <c:v>0.1</c:v>
                </c:pt>
                <c:pt idx="354">
                  <c:v>0.1</c:v>
                </c:pt>
                <c:pt idx="355">
                  <c:v>0.1</c:v>
                </c:pt>
                <c:pt idx="356">
                  <c:v>0.1</c:v>
                </c:pt>
                <c:pt idx="357">
                  <c:v>0.1</c:v>
                </c:pt>
                <c:pt idx="358">
                  <c:v>0.1</c:v>
                </c:pt>
                <c:pt idx="359">
                  <c:v>0.1</c:v>
                </c:pt>
                <c:pt idx="360">
                  <c:v>0.1</c:v>
                </c:pt>
                <c:pt idx="361">
                  <c:v>0.1</c:v>
                </c:pt>
                <c:pt idx="362">
                  <c:v>0.1</c:v>
                </c:pt>
                <c:pt idx="363">
                  <c:v>0.1</c:v>
                </c:pt>
                <c:pt idx="364">
                  <c:v>0.1</c:v>
                </c:pt>
                <c:pt idx="365">
                  <c:v>0.2</c:v>
                </c:pt>
                <c:pt idx="366">
                  <c:v>0.6</c:v>
                </c:pt>
                <c:pt idx="367">
                  <c:v>0.6</c:v>
                </c:pt>
                <c:pt idx="368">
                  <c:v>0.6</c:v>
                </c:pt>
                <c:pt idx="369">
                  <c:v>0.6</c:v>
                </c:pt>
                <c:pt idx="370">
                  <c:v>0.6</c:v>
                </c:pt>
                <c:pt idx="371">
                  <c:v>0.6</c:v>
                </c:pt>
                <c:pt idx="372">
                  <c:v>0.6</c:v>
                </c:pt>
                <c:pt idx="373">
                  <c:v>0.6</c:v>
                </c:pt>
                <c:pt idx="374">
                  <c:v>7.2</c:v>
                </c:pt>
                <c:pt idx="375">
                  <c:v>1.1</c:v>
                </c:pt>
                <c:pt idx="376">
                  <c:v>1.1</c:v>
                </c:pt>
                <c:pt idx="377">
                  <c:v>1.1</c:v>
                </c:pt>
                <c:pt idx="378">
                  <c:v>1.1</c:v>
                </c:pt>
                <c:pt idx="379">
                  <c:v>1.1</c:v>
                </c:pt>
                <c:pt idx="380">
                  <c:v>1.1</c:v>
                </c:pt>
                <c:pt idx="381">
                  <c:v>9.3</c:v>
                </c:pt>
                <c:pt idx="382">
                  <c:v>0.1</c:v>
                </c:pt>
                <c:pt idx="383">
                  <c:v>0.1</c:v>
                </c:pt>
                <c:pt idx="384">
                  <c:v>0.1</c:v>
                </c:pt>
                <c:pt idx="385">
                  <c:v>0.1</c:v>
                </c:pt>
                <c:pt idx="386">
                  <c:v>0.1</c:v>
                </c:pt>
                <c:pt idx="387">
                  <c:v>0.1</c:v>
                </c:pt>
                <c:pt idx="388">
                  <c:v>0.1</c:v>
                </c:pt>
                <c:pt idx="389">
                  <c:v>0.1</c:v>
                </c:pt>
                <c:pt idx="390">
                  <c:v>0.1</c:v>
                </c:pt>
                <c:pt idx="391">
                  <c:v>0.1</c:v>
                </c:pt>
                <c:pt idx="392">
                  <c:v>0.1</c:v>
                </c:pt>
                <c:pt idx="393">
                  <c:v>0.1</c:v>
                </c:pt>
                <c:pt idx="394">
                  <c:v>0.1</c:v>
                </c:pt>
                <c:pt idx="395">
                  <c:v>0.1</c:v>
                </c:pt>
                <c:pt idx="396">
                  <c:v>0.1</c:v>
                </c:pt>
                <c:pt idx="397">
                  <c:v>0.1</c:v>
                </c:pt>
                <c:pt idx="398">
                  <c:v>0.1</c:v>
                </c:pt>
                <c:pt idx="399">
                  <c:v>0.1</c:v>
                </c:pt>
                <c:pt idx="400">
                  <c:v>0.1</c:v>
                </c:pt>
                <c:pt idx="401">
                  <c:v>0.1</c:v>
                </c:pt>
                <c:pt idx="402">
                  <c:v>0.1</c:v>
                </c:pt>
                <c:pt idx="403">
                  <c:v>0.1</c:v>
                </c:pt>
                <c:pt idx="404">
                  <c:v>0.1</c:v>
                </c:pt>
                <c:pt idx="405">
                  <c:v>0.1</c:v>
                </c:pt>
                <c:pt idx="406">
                  <c:v>0.1</c:v>
                </c:pt>
                <c:pt idx="407">
                  <c:v>0.1</c:v>
                </c:pt>
                <c:pt idx="408">
                  <c:v>0.1</c:v>
                </c:pt>
                <c:pt idx="409">
                  <c:v>0.1</c:v>
                </c:pt>
                <c:pt idx="410">
                  <c:v>0.1</c:v>
                </c:pt>
                <c:pt idx="411">
                  <c:v>0.1</c:v>
                </c:pt>
                <c:pt idx="412">
                  <c:v>0.1</c:v>
                </c:pt>
                <c:pt idx="413">
                  <c:v>0.1</c:v>
                </c:pt>
                <c:pt idx="414">
                  <c:v>0.1</c:v>
                </c:pt>
                <c:pt idx="415">
                  <c:v>0.1</c:v>
                </c:pt>
                <c:pt idx="416">
                  <c:v>0.1</c:v>
                </c:pt>
                <c:pt idx="417">
                  <c:v>0.1</c:v>
                </c:pt>
                <c:pt idx="418">
                  <c:v>0.1</c:v>
                </c:pt>
                <c:pt idx="419">
                  <c:v>0.1</c:v>
                </c:pt>
                <c:pt idx="420">
                  <c:v>0.1</c:v>
                </c:pt>
                <c:pt idx="421">
                  <c:v>0.1</c:v>
                </c:pt>
                <c:pt idx="422">
                  <c:v>0.1</c:v>
                </c:pt>
                <c:pt idx="423">
                  <c:v>0.1</c:v>
                </c:pt>
                <c:pt idx="424">
                  <c:v>0.1</c:v>
                </c:pt>
                <c:pt idx="425">
                  <c:v>0.1</c:v>
                </c:pt>
                <c:pt idx="426">
                  <c:v>0.1</c:v>
                </c:pt>
                <c:pt idx="427">
                  <c:v>0.1</c:v>
                </c:pt>
                <c:pt idx="428">
                  <c:v>0.1</c:v>
                </c:pt>
                <c:pt idx="429">
                  <c:v>0.1</c:v>
                </c:pt>
                <c:pt idx="430">
                  <c:v>0.1</c:v>
                </c:pt>
                <c:pt idx="431">
                  <c:v>0.1</c:v>
                </c:pt>
                <c:pt idx="432">
                  <c:v>0.1</c:v>
                </c:pt>
                <c:pt idx="433">
                  <c:v>0.1</c:v>
                </c:pt>
                <c:pt idx="434">
                  <c:v>0.1</c:v>
                </c:pt>
                <c:pt idx="435">
                  <c:v>0.1</c:v>
                </c:pt>
                <c:pt idx="436">
                  <c:v>0.1</c:v>
                </c:pt>
                <c:pt idx="437">
                  <c:v>0.1</c:v>
                </c:pt>
                <c:pt idx="438">
                  <c:v>0.1</c:v>
                </c:pt>
                <c:pt idx="439">
                  <c:v>0.1</c:v>
                </c:pt>
                <c:pt idx="440">
                  <c:v>0.1</c:v>
                </c:pt>
                <c:pt idx="441">
                  <c:v>0.1</c:v>
                </c:pt>
                <c:pt idx="442">
                  <c:v>0.1</c:v>
                </c:pt>
                <c:pt idx="443">
                  <c:v>0.1</c:v>
                </c:pt>
                <c:pt idx="444">
                  <c:v>0.1</c:v>
                </c:pt>
                <c:pt idx="445">
                  <c:v>0.1</c:v>
                </c:pt>
                <c:pt idx="446">
                  <c:v>0.1</c:v>
                </c:pt>
                <c:pt idx="447">
                  <c:v>0.1</c:v>
                </c:pt>
                <c:pt idx="448">
                  <c:v>0.1</c:v>
                </c:pt>
                <c:pt idx="449">
                  <c:v>0.1</c:v>
                </c:pt>
                <c:pt idx="450">
                  <c:v>0.1</c:v>
                </c:pt>
                <c:pt idx="451">
                  <c:v>0.1</c:v>
                </c:pt>
                <c:pt idx="452">
                  <c:v>0.1</c:v>
                </c:pt>
                <c:pt idx="453">
                  <c:v>0.1</c:v>
                </c:pt>
                <c:pt idx="454">
                  <c:v>0.1</c:v>
                </c:pt>
                <c:pt idx="455">
                  <c:v>0.1</c:v>
                </c:pt>
                <c:pt idx="456">
                  <c:v>0.1</c:v>
                </c:pt>
                <c:pt idx="457">
                  <c:v>0.1</c:v>
                </c:pt>
                <c:pt idx="458">
                  <c:v>0.1</c:v>
                </c:pt>
                <c:pt idx="459">
                  <c:v>0.1</c:v>
                </c:pt>
                <c:pt idx="460">
                  <c:v>0.1</c:v>
                </c:pt>
                <c:pt idx="461">
                  <c:v>0.1</c:v>
                </c:pt>
                <c:pt idx="462">
                  <c:v>0.1</c:v>
                </c:pt>
                <c:pt idx="463">
                  <c:v>0.1</c:v>
                </c:pt>
                <c:pt idx="464">
                  <c:v>0.1</c:v>
                </c:pt>
                <c:pt idx="465">
                  <c:v>0.1</c:v>
                </c:pt>
                <c:pt idx="466">
                  <c:v>0.1</c:v>
                </c:pt>
                <c:pt idx="467">
                  <c:v>0.1</c:v>
                </c:pt>
                <c:pt idx="468">
                  <c:v>0.1</c:v>
                </c:pt>
                <c:pt idx="469">
                  <c:v>0.1</c:v>
                </c:pt>
                <c:pt idx="470">
                  <c:v>0.1</c:v>
                </c:pt>
                <c:pt idx="471">
                  <c:v>0.1</c:v>
                </c:pt>
                <c:pt idx="472">
                  <c:v>0.1</c:v>
                </c:pt>
                <c:pt idx="473">
                  <c:v>0.1</c:v>
                </c:pt>
                <c:pt idx="474">
                  <c:v>0.1</c:v>
                </c:pt>
                <c:pt idx="475">
                  <c:v>0.1</c:v>
                </c:pt>
                <c:pt idx="476">
                  <c:v>0.5</c:v>
                </c:pt>
                <c:pt idx="477">
                  <c:v>2</c:v>
                </c:pt>
                <c:pt idx="478">
                  <c:v>2</c:v>
                </c:pt>
                <c:pt idx="479">
                  <c:v>2</c:v>
                </c:pt>
                <c:pt idx="480">
                  <c:v>2</c:v>
                </c:pt>
                <c:pt idx="481">
                  <c:v>2</c:v>
                </c:pt>
                <c:pt idx="482">
                  <c:v>1.8</c:v>
                </c:pt>
                <c:pt idx="483">
                  <c:v>1.8</c:v>
                </c:pt>
                <c:pt idx="484">
                  <c:v>1.8</c:v>
                </c:pt>
                <c:pt idx="485">
                  <c:v>1.8</c:v>
                </c:pt>
                <c:pt idx="486">
                  <c:v>1.8</c:v>
                </c:pt>
                <c:pt idx="487">
                  <c:v>1.8</c:v>
                </c:pt>
                <c:pt idx="488">
                  <c:v>0.9</c:v>
                </c:pt>
                <c:pt idx="489">
                  <c:v>0.2</c:v>
                </c:pt>
                <c:pt idx="490">
                  <c:v>0.2</c:v>
                </c:pt>
                <c:pt idx="491">
                  <c:v>0.2</c:v>
                </c:pt>
                <c:pt idx="492">
                  <c:v>0.2</c:v>
                </c:pt>
                <c:pt idx="493">
                  <c:v>0.2</c:v>
                </c:pt>
                <c:pt idx="494">
                  <c:v>0.2</c:v>
                </c:pt>
                <c:pt idx="495">
                  <c:v>0.2</c:v>
                </c:pt>
                <c:pt idx="496">
                  <c:v>0.2</c:v>
                </c:pt>
                <c:pt idx="497">
                  <c:v>0.2</c:v>
                </c:pt>
                <c:pt idx="498">
                  <c:v>0.2</c:v>
                </c:pt>
                <c:pt idx="499">
                  <c:v>0.2</c:v>
                </c:pt>
                <c:pt idx="500">
                  <c:v>0.2</c:v>
                </c:pt>
                <c:pt idx="501">
                  <c:v>0.2</c:v>
                </c:pt>
                <c:pt idx="502">
                  <c:v>0.2</c:v>
                </c:pt>
                <c:pt idx="503">
                  <c:v>0.2</c:v>
                </c:pt>
                <c:pt idx="504">
                  <c:v>0.2</c:v>
                </c:pt>
                <c:pt idx="505">
                  <c:v>0.2</c:v>
                </c:pt>
                <c:pt idx="506">
                  <c:v>0.2</c:v>
                </c:pt>
                <c:pt idx="507">
                  <c:v>0.2</c:v>
                </c:pt>
                <c:pt idx="508">
                  <c:v>0.2</c:v>
                </c:pt>
                <c:pt idx="509">
                  <c:v>0.2</c:v>
                </c:pt>
                <c:pt idx="510">
                  <c:v>0.2</c:v>
                </c:pt>
                <c:pt idx="511">
                  <c:v>0.2</c:v>
                </c:pt>
                <c:pt idx="512">
                  <c:v>0.2</c:v>
                </c:pt>
                <c:pt idx="513">
                  <c:v>0.2</c:v>
                </c:pt>
                <c:pt idx="514">
                  <c:v>0.2</c:v>
                </c:pt>
                <c:pt idx="515">
                  <c:v>0.2</c:v>
                </c:pt>
                <c:pt idx="516">
                  <c:v>0.2</c:v>
                </c:pt>
                <c:pt idx="517">
                  <c:v>0.2</c:v>
                </c:pt>
                <c:pt idx="518">
                  <c:v>0.2</c:v>
                </c:pt>
                <c:pt idx="519">
                  <c:v>0.2</c:v>
                </c:pt>
                <c:pt idx="520">
                  <c:v>0.2</c:v>
                </c:pt>
                <c:pt idx="521">
                  <c:v>0.2</c:v>
                </c:pt>
                <c:pt idx="522">
                  <c:v>0.2</c:v>
                </c:pt>
                <c:pt idx="523">
                  <c:v>0.2</c:v>
                </c:pt>
                <c:pt idx="524">
                  <c:v>0.2</c:v>
                </c:pt>
                <c:pt idx="525">
                  <c:v>0.2</c:v>
                </c:pt>
                <c:pt idx="526">
                  <c:v>0.2</c:v>
                </c:pt>
                <c:pt idx="527">
                  <c:v>0.2</c:v>
                </c:pt>
                <c:pt idx="528">
                  <c:v>0.2</c:v>
                </c:pt>
                <c:pt idx="529">
                  <c:v>0.2</c:v>
                </c:pt>
                <c:pt idx="530">
                  <c:v>0.2</c:v>
                </c:pt>
                <c:pt idx="531">
                  <c:v>0.2</c:v>
                </c:pt>
                <c:pt idx="532">
                  <c:v>0.2</c:v>
                </c:pt>
                <c:pt idx="533">
                  <c:v>0.2</c:v>
                </c:pt>
                <c:pt idx="534">
                  <c:v>0.2</c:v>
                </c:pt>
                <c:pt idx="535">
                  <c:v>0.2</c:v>
                </c:pt>
                <c:pt idx="536">
                  <c:v>0.2</c:v>
                </c:pt>
                <c:pt idx="537">
                  <c:v>0.2</c:v>
                </c:pt>
                <c:pt idx="538">
                  <c:v>0.2</c:v>
                </c:pt>
                <c:pt idx="539">
                  <c:v>0.2</c:v>
                </c:pt>
                <c:pt idx="540">
                  <c:v>0.2</c:v>
                </c:pt>
                <c:pt idx="541">
                  <c:v>0.2</c:v>
                </c:pt>
                <c:pt idx="542">
                  <c:v>0.2</c:v>
                </c:pt>
                <c:pt idx="543">
                  <c:v>0.2</c:v>
                </c:pt>
                <c:pt idx="544">
                  <c:v>0.2</c:v>
                </c:pt>
                <c:pt idx="545">
                  <c:v>0.2</c:v>
                </c:pt>
                <c:pt idx="546">
                  <c:v>0.2</c:v>
                </c:pt>
                <c:pt idx="547">
                  <c:v>0.2</c:v>
                </c:pt>
                <c:pt idx="548">
                  <c:v>0.2</c:v>
                </c:pt>
                <c:pt idx="549">
                  <c:v>0.2</c:v>
                </c:pt>
                <c:pt idx="550">
                  <c:v>0.2</c:v>
                </c:pt>
                <c:pt idx="551">
                  <c:v>0.2</c:v>
                </c:pt>
                <c:pt idx="552">
                  <c:v>0.2</c:v>
                </c:pt>
                <c:pt idx="553">
                  <c:v>0.2</c:v>
                </c:pt>
                <c:pt idx="554">
                  <c:v>0.2</c:v>
                </c:pt>
                <c:pt idx="555">
                  <c:v>0.2</c:v>
                </c:pt>
                <c:pt idx="556">
                  <c:v>0.2</c:v>
                </c:pt>
                <c:pt idx="557">
                  <c:v>0.2</c:v>
                </c:pt>
                <c:pt idx="558">
                  <c:v>0.2</c:v>
                </c:pt>
                <c:pt idx="559">
                  <c:v>0.2</c:v>
                </c:pt>
                <c:pt idx="560">
                  <c:v>0.2</c:v>
                </c:pt>
                <c:pt idx="561">
                  <c:v>0.2</c:v>
                </c:pt>
                <c:pt idx="562">
                  <c:v>0.2</c:v>
                </c:pt>
                <c:pt idx="563">
                  <c:v>0.2</c:v>
                </c:pt>
                <c:pt idx="564">
                  <c:v>0.2</c:v>
                </c:pt>
                <c:pt idx="565">
                  <c:v>0.2</c:v>
                </c:pt>
                <c:pt idx="566">
                  <c:v>14.1</c:v>
                </c:pt>
                <c:pt idx="567">
                  <c:v>2.5</c:v>
                </c:pt>
                <c:pt idx="568">
                  <c:v>2.5</c:v>
                </c:pt>
                <c:pt idx="569">
                  <c:v>2.5</c:v>
                </c:pt>
                <c:pt idx="570">
                  <c:v>2.5</c:v>
                </c:pt>
                <c:pt idx="571">
                  <c:v>2.5</c:v>
                </c:pt>
                <c:pt idx="572">
                  <c:v>2.6</c:v>
                </c:pt>
                <c:pt idx="573">
                  <c:v>2.6</c:v>
                </c:pt>
                <c:pt idx="574">
                  <c:v>2.6</c:v>
                </c:pt>
                <c:pt idx="575">
                  <c:v>2.6</c:v>
                </c:pt>
                <c:pt idx="576">
                  <c:v>2.6</c:v>
                </c:pt>
                <c:pt idx="577">
                  <c:v>2.7</c:v>
                </c:pt>
                <c:pt idx="578">
                  <c:v>3.1</c:v>
                </c:pt>
                <c:pt idx="579">
                  <c:v>3.1</c:v>
                </c:pt>
                <c:pt idx="580">
                  <c:v>3.1</c:v>
                </c:pt>
                <c:pt idx="581">
                  <c:v>3.1</c:v>
                </c:pt>
                <c:pt idx="582">
                  <c:v>2.5</c:v>
                </c:pt>
                <c:pt idx="583">
                  <c:v>0.2</c:v>
                </c:pt>
                <c:pt idx="584">
                  <c:v>0.2</c:v>
                </c:pt>
                <c:pt idx="585">
                  <c:v>0.2</c:v>
                </c:pt>
                <c:pt idx="586">
                  <c:v>0.2</c:v>
                </c:pt>
                <c:pt idx="587">
                  <c:v>0.2</c:v>
                </c:pt>
                <c:pt idx="588">
                  <c:v>0.2</c:v>
                </c:pt>
                <c:pt idx="589">
                  <c:v>0.2</c:v>
                </c:pt>
                <c:pt idx="590">
                  <c:v>0.2</c:v>
                </c:pt>
                <c:pt idx="591">
                  <c:v>0.2</c:v>
                </c:pt>
                <c:pt idx="592">
                  <c:v>0.2</c:v>
                </c:pt>
                <c:pt idx="593">
                  <c:v>0.2</c:v>
                </c:pt>
                <c:pt idx="594">
                  <c:v>0.2</c:v>
                </c:pt>
                <c:pt idx="595">
                  <c:v>0.2</c:v>
                </c:pt>
                <c:pt idx="596">
                  <c:v>0.2</c:v>
                </c:pt>
                <c:pt idx="597">
                  <c:v>0.2</c:v>
                </c:pt>
                <c:pt idx="598">
                  <c:v>0.2</c:v>
                </c:pt>
                <c:pt idx="599">
                  <c:v>0.2</c:v>
                </c:pt>
                <c:pt idx="600">
                  <c:v>0.2</c:v>
                </c:pt>
                <c:pt idx="601">
                  <c:v>0.2</c:v>
                </c:pt>
                <c:pt idx="602">
                  <c:v>0.2</c:v>
                </c:pt>
                <c:pt idx="603">
                  <c:v>0.2</c:v>
                </c:pt>
                <c:pt idx="604">
                  <c:v>0.2</c:v>
                </c:pt>
                <c:pt idx="605">
                  <c:v>0.2</c:v>
                </c:pt>
                <c:pt idx="606">
                  <c:v>0.2</c:v>
                </c:pt>
                <c:pt idx="607">
                  <c:v>0.2</c:v>
                </c:pt>
                <c:pt idx="608">
                  <c:v>0.2</c:v>
                </c:pt>
                <c:pt idx="609">
                  <c:v>0.2</c:v>
                </c:pt>
                <c:pt idx="610">
                  <c:v>0.2</c:v>
                </c:pt>
                <c:pt idx="611">
                  <c:v>0.2</c:v>
                </c:pt>
                <c:pt idx="612">
                  <c:v>0.2</c:v>
                </c:pt>
                <c:pt idx="613">
                  <c:v>0.2</c:v>
                </c:pt>
                <c:pt idx="614">
                  <c:v>0.2</c:v>
                </c:pt>
                <c:pt idx="615">
                  <c:v>0.2</c:v>
                </c:pt>
                <c:pt idx="616">
                  <c:v>0.2</c:v>
                </c:pt>
                <c:pt idx="617">
                  <c:v>0.2</c:v>
                </c:pt>
                <c:pt idx="618">
                  <c:v>0.2</c:v>
                </c:pt>
                <c:pt idx="619">
                  <c:v>0.2</c:v>
                </c:pt>
                <c:pt idx="620">
                  <c:v>0.2</c:v>
                </c:pt>
                <c:pt idx="621">
                  <c:v>0.2</c:v>
                </c:pt>
                <c:pt idx="622">
                  <c:v>0.2</c:v>
                </c:pt>
                <c:pt idx="623">
                  <c:v>0.2</c:v>
                </c:pt>
                <c:pt idx="624">
                  <c:v>0.2</c:v>
                </c:pt>
                <c:pt idx="625">
                  <c:v>0.2</c:v>
                </c:pt>
                <c:pt idx="626">
                  <c:v>0.2</c:v>
                </c:pt>
                <c:pt idx="627">
                  <c:v>0.2</c:v>
                </c:pt>
                <c:pt idx="628">
                  <c:v>0.2</c:v>
                </c:pt>
                <c:pt idx="629">
                  <c:v>0.2</c:v>
                </c:pt>
                <c:pt idx="630">
                  <c:v>0.2</c:v>
                </c:pt>
                <c:pt idx="631">
                  <c:v>0.2</c:v>
                </c:pt>
                <c:pt idx="632">
                  <c:v>0.2</c:v>
                </c:pt>
                <c:pt idx="633">
                  <c:v>0.2</c:v>
                </c:pt>
                <c:pt idx="634">
                  <c:v>0.2</c:v>
                </c:pt>
                <c:pt idx="635">
                  <c:v>0.2</c:v>
                </c:pt>
                <c:pt idx="636">
                  <c:v>0.2</c:v>
                </c:pt>
                <c:pt idx="637">
                  <c:v>0.2</c:v>
                </c:pt>
                <c:pt idx="638">
                  <c:v>0.2</c:v>
                </c:pt>
                <c:pt idx="639">
                  <c:v>0.2</c:v>
                </c:pt>
                <c:pt idx="640">
                  <c:v>0.2</c:v>
                </c:pt>
                <c:pt idx="641">
                  <c:v>0.2</c:v>
                </c:pt>
                <c:pt idx="642">
                  <c:v>0.2</c:v>
                </c:pt>
                <c:pt idx="643">
                  <c:v>0.2</c:v>
                </c:pt>
                <c:pt idx="644">
                  <c:v>0.2</c:v>
                </c:pt>
                <c:pt idx="645">
                  <c:v>0.2</c:v>
                </c:pt>
                <c:pt idx="646">
                  <c:v>0.2</c:v>
                </c:pt>
                <c:pt idx="647">
                  <c:v>0.2</c:v>
                </c:pt>
                <c:pt idx="648">
                  <c:v>0.2</c:v>
                </c:pt>
                <c:pt idx="649">
                  <c:v>0.2</c:v>
                </c:pt>
                <c:pt idx="650">
                  <c:v>0.2</c:v>
                </c:pt>
                <c:pt idx="651">
                  <c:v>0.2</c:v>
                </c:pt>
                <c:pt idx="652">
                  <c:v>0.2</c:v>
                </c:pt>
                <c:pt idx="653">
                  <c:v>0.2</c:v>
                </c:pt>
                <c:pt idx="654">
                  <c:v>0.2</c:v>
                </c:pt>
                <c:pt idx="655">
                  <c:v>0.2</c:v>
                </c:pt>
                <c:pt idx="656">
                  <c:v>0.2</c:v>
                </c:pt>
                <c:pt idx="657">
                  <c:v>0.2</c:v>
                </c:pt>
                <c:pt idx="658">
                  <c:v>0.2</c:v>
                </c:pt>
                <c:pt idx="659">
                  <c:v>0.2</c:v>
                </c:pt>
                <c:pt idx="660">
                  <c:v>2.9</c:v>
                </c:pt>
                <c:pt idx="661">
                  <c:v>8.8</c:v>
                </c:pt>
                <c:pt idx="662">
                  <c:v>24.3</c:v>
                </c:pt>
                <c:pt idx="663">
                  <c:v>4.6</c:v>
                </c:pt>
                <c:pt idx="664">
                  <c:v>4.6</c:v>
                </c:pt>
                <c:pt idx="665">
                  <c:v>4.6</c:v>
                </c:pt>
                <c:pt idx="666">
                  <c:v>3.8</c:v>
                </c:pt>
                <c:pt idx="667">
                  <c:v>2.8</c:v>
                </c:pt>
                <c:pt idx="668">
                  <c:v>2.8</c:v>
                </c:pt>
                <c:pt idx="669">
                  <c:v>2.8</c:v>
                </c:pt>
                <c:pt idx="670">
                  <c:v>2.8</c:v>
                </c:pt>
                <c:pt idx="671">
                  <c:v>2.8</c:v>
                </c:pt>
                <c:pt idx="672">
                  <c:v>2.8</c:v>
                </c:pt>
                <c:pt idx="673">
                  <c:v>0.8</c:v>
                </c:pt>
                <c:pt idx="674">
                  <c:v>0.3</c:v>
                </c:pt>
                <c:pt idx="675">
                  <c:v>0.3</c:v>
                </c:pt>
                <c:pt idx="676">
                  <c:v>0.3</c:v>
                </c:pt>
                <c:pt idx="677">
                  <c:v>0.3</c:v>
                </c:pt>
                <c:pt idx="678">
                  <c:v>0.3</c:v>
                </c:pt>
                <c:pt idx="679">
                  <c:v>0.3</c:v>
                </c:pt>
                <c:pt idx="680">
                  <c:v>0.3</c:v>
                </c:pt>
                <c:pt idx="681">
                  <c:v>0.3</c:v>
                </c:pt>
                <c:pt idx="682">
                  <c:v>0.3</c:v>
                </c:pt>
                <c:pt idx="683">
                  <c:v>0.3</c:v>
                </c:pt>
                <c:pt idx="684">
                  <c:v>0.3</c:v>
                </c:pt>
                <c:pt idx="685">
                  <c:v>0.3</c:v>
                </c:pt>
                <c:pt idx="686">
                  <c:v>0.3</c:v>
                </c:pt>
                <c:pt idx="687">
                  <c:v>0.3</c:v>
                </c:pt>
                <c:pt idx="688">
                  <c:v>0.3</c:v>
                </c:pt>
                <c:pt idx="689">
                  <c:v>0.3</c:v>
                </c:pt>
                <c:pt idx="690">
                  <c:v>0.3</c:v>
                </c:pt>
                <c:pt idx="691">
                  <c:v>0.3</c:v>
                </c:pt>
                <c:pt idx="692">
                  <c:v>0.3</c:v>
                </c:pt>
                <c:pt idx="693">
                  <c:v>0.3</c:v>
                </c:pt>
                <c:pt idx="694">
                  <c:v>0.3</c:v>
                </c:pt>
                <c:pt idx="695">
                  <c:v>0.3</c:v>
                </c:pt>
                <c:pt idx="696">
                  <c:v>0.3</c:v>
                </c:pt>
                <c:pt idx="697">
                  <c:v>0.3</c:v>
                </c:pt>
                <c:pt idx="698">
                  <c:v>0.3</c:v>
                </c:pt>
                <c:pt idx="699">
                  <c:v>0.3</c:v>
                </c:pt>
                <c:pt idx="700">
                  <c:v>0.3</c:v>
                </c:pt>
                <c:pt idx="701">
                  <c:v>0.3</c:v>
                </c:pt>
                <c:pt idx="702">
                  <c:v>0.3</c:v>
                </c:pt>
                <c:pt idx="703">
                  <c:v>0.3</c:v>
                </c:pt>
                <c:pt idx="704">
                  <c:v>0.3</c:v>
                </c:pt>
                <c:pt idx="705">
                  <c:v>0.3</c:v>
                </c:pt>
                <c:pt idx="706">
                  <c:v>0.3</c:v>
                </c:pt>
                <c:pt idx="707">
                  <c:v>0.3</c:v>
                </c:pt>
                <c:pt idx="708">
                  <c:v>0.3</c:v>
                </c:pt>
                <c:pt idx="709">
                  <c:v>0.3</c:v>
                </c:pt>
                <c:pt idx="710">
                  <c:v>0.3</c:v>
                </c:pt>
                <c:pt idx="711">
                  <c:v>0.3</c:v>
                </c:pt>
                <c:pt idx="712">
                  <c:v>0.3</c:v>
                </c:pt>
                <c:pt idx="713">
                  <c:v>0.3</c:v>
                </c:pt>
                <c:pt idx="714">
                  <c:v>0.3</c:v>
                </c:pt>
                <c:pt idx="715">
                  <c:v>0.3</c:v>
                </c:pt>
                <c:pt idx="716">
                  <c:v>0.3</c:v>
                </c:pt>
                <c:pt idx="717">
                  <c:v>0.3</c:v>
                </c:pt>
                <c:pt idx="718">
                  <c:v>0.3</c:v>
                </c:pt>
                <c:pt idx="719">
                  <c:v>0.3</c:v>
                </c:pt>
                <c:pt idx="720">
                  <c:v>0.3</c:v>
                </c:pt>
                <c:pt idx="721">
                  <c:v>0.3</c:v>
                </c:pt>
                <c:pt idx="722">
                  <c:v>0.3</c:v>
                </c:pt>
                <c:pt idx="723">
                  <c:v>0.3</c:v>
                </c:pt>
                <c:pt idx="724">
                  <c:v>0.3</c:v>
                </c:pt>
                <c:pt idx="725">
                  <c:v>0.3</c:v>
                </c:pt>
                <c:pt idx="726">
                  <c:v>0.3</c:v>
                </c:pt>
                <c:pt idx="727">
                  <c:v>0.3</c:v>
                </c:pt>
                <c:pt idx="728">
                  <c:v>0.3</c:v>
                </c:pt>
                <c:pt idx="729">
                  <c:v>0.3</c:v>
                </c:pt>
                <c:pt idx="730">
                  <c:v>0.3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22.7</c:v>
                </c:pt>
                <c:pt idx="759">
                  <c:v>6.1</c:v>
                </c:pt>
                <c:pt idx="760">
                  <c:v>6.1</c:v>
                </c:pt>
                <c:pt idx="761">
                  <c:v>6.1</c:v>
                </c:pt>
                <c:pt idx="762">
                  <c:v>128.4</c:v>
                </c:pt>
                <c:pt idx="763">
                  <c:v>16.2</c:v>
                </c:pt>
                <c:pt idx="764">
                  <c:v>20.2</c:v>
                </c:pt>
                <c:pt idx="765">
                  <c:v>7.8</c:v>
                </c:pt>
                <c:pt idx="766">
                  <c:v>7.8</c:v>
                </c:pt>
                <c:pt idx="767">
                  <c:v>7.8</c:v>
                </c:pt>
                <c:pt idx="768">
                  <c:v>7.9</c:v>
                </c:pt>
                <c:pt idx="769">
                  <c:v>7.9</c:v>
                </c:pt>
                <c:pt idx="770">
                  <c:v>7.5</c:v>
                </c:pt>
                <c:pt idx="771">
                  <c:v>0.3</c:v>
                </c:pt>
                <c:pt idx="772">
                  <c:v>0.3</c:v>
                </c:pt>
                <c:pt idx="773">
                  <c:v>0.3</c:v>
                </c:pt>
                <c:pt idx="774">
                  <c:v>0.3</c:v>
                </c:pt>
                <c:pt idx="775">
                  <c:v>0.3</c:v>
                </c:pt>
                <c:pt idx="776">
                  <c:v>0.3</c:v>
                </c:pt>
                <c:pt idx="777">
                  <c:v>0.3</c:v>
                </c:pt>
                <c:pt idx="778">
                  <c:v>0.3</c:v>
                </c:pt>
                <c:pt idx="779">
                  <c:v>0.3</c:v>
                </c:pt>
                <c:pt idx="780">
                  <c:v>0.3</c:v>
                </c:pt>
                <c:pt idx="781">
                  <c:v>0.3</c:v>
                </c:pt>
                <c:pt idx="782">
                  <c:v>0.3</c:v>
                </c:pt>
                <c:pt idx="783">
                  <c:v>0.3</c:v>
                </c:pt>
                <c:pt idx="784">
                  <c:v>0.3</c:v>
                </c:pt>
                <c:pt idx="785">
                  <c:v>0.3</c:v>
                </c:pt>
                <c:pt idx="786">
                  <c:v>0.3</c:v>
                </c:pt>
                <c:pt idx="787">
                  <c:v>0.3</c:v>
                </c:pt>
                <c:pt idx="788">
                  <c:v>0.3</c:v>
                </c:pt>
                <c:pt idx="789">
                  <c:v>0.3</c:v>
                </c:pt>
                <c:pt idx="790">
                  <c:v>0.3</c:v>
                </c:pt>
                <c:pt idx="791">
                  <c:v>0.3</c:v>
                </c:pt>
                <c:pt idx="792">
                  <c:v>0.3</c:v>
                </c:pt>
                <c:pt idx="793">
                  <c:v>0.3</c:v>
                </c:pt>
                <c:pt idx="794">
                  <c:v>0.3</c:v>
                </c:pt>
                <c:pt idx="795">
                  <c:v>0.3</c:v>
                </c:pt>
                <c:pt idx="796">
                  <c:v>0.3</c:v>
                </c:pt>
                <c:pt idx="797">
                  <c:v>0.3</c:v>
                </c:pt>
                <c:pt idx="798">
                  <c:v>0.3</c:v>
                </c:pt>
                <c:pt idx="799">
                  <c:v>0.3</c:v>
                </c:pt>
                <c:pt idx="800">
                  <c:v>0.3</c:v>
                </c:pt>
                <c:pt idx="801">
                  <c:v>0.3</c:v>
                </c:pt>
                <c:pt idx="802">
                  <c:v>0.3</c:v>
                </c:pt>
                <c:pt idx="803">
                  <c:v>0.3</c:v>
                </c:pt>
                <c:pt idx="804">
                  <c:v>0.3</c:v>
                </c:pt>
                <c:pt idx="805">
                  <c:v>0.3</c:v>
                </c:pt>
                <c:pt idx="806">
                  <c:v>0.3</c:v>
                </c:pt>
                <c:pt idx="807">
                  <c:v>0.3</c:v>
                </c:pt>
                <c:pt idx="808">
                  <c:v>0.3</c:v>
                </c:pt>
                <c:pt idx="809">
                  <c:v>0.3</c:v>
                </c:pt>
                <c:pt idx="810">
                  <c:v>0.3</c:v>
                </c:pt>
                <c:pt idx="811">
                  <c:v>0.3</c:v>
                </c:pt>
                <c:pt idx="812">
                  <c:v>0.3</c:v>
                </c:pt>
                <c:pt idx="813">
                  <c:v>0.3</c:v>
                </c:pt>
                <c:pt idx="814">
                  <c:v>0.3</c:v>
                </c:pt>
                <c:pt idx="815">
                  <c:v>0.3</c:v>
                </c:pt>
                <c:pt idx="816">
                  <c:v>0.3</c:v>
                </c:pt>
                <c:pt idx="817">
                  <c:v>0.3</c:v>
                </c:pt>
                <c:pt idx="818">
                  <c:v>0.3</c:v>
                </c:pt>
                <c:pt idx="819">
                  <c:v>0.3</c:v>
                </c:pt>
                <c:pt idx="820">
                  <c:v>0.3</c:v>
                </c:pt>
                <c:pt idx="821">
                  <c:v>0.3</c:v>
                </c:pt>
                <c:pt idx="822">
                  <c:v>0.3</c:v>
                </c:pt>
                <c:pt idx="823">
                  <c:v>0.3</c:v>
                </c:pt>
                <c:pt idx="824">
                  <c:v>0.3</c:v>
                </c:pt>
                <c:pt idx="825">
                  <c:v>0.3</c:v>
                </c:pt>
                <c:pt idx="826">
                  <c:v>0.3</c:v>
                </c:pt>
                <c:pt idx="827">
                  <c:v>0.3</c:v>
                </c:pt>
                <c:pt idx="828">
                  <c:v>0.3</c:v>
                </c:pt>
                <c:pt idx="829">
                  <c:v>0.3</c:v>
                </c:pt>
                <c:pt idx="830">
                  <c:v>0.3</c:v>
                </c:pt>
                <c:pt idx="831">
                  <c:v>0.3</c:v>
                </c:pt>
                <c:pt idx="832">
                  <c:v>0.3</c:v>
                </c:pt>
                <c:pt idx="833">
                  <c:v>0.3</c:v>
                </c:pt>
                <c:pt idx="834">
                  <c:v>0.3</c:v>
                </c:pt>
                <c:pt idx="835">
                  <c:v>0.3</c:v>
                </c:pt>
                <c:pt idx="836">
                  <c:v>0.3</c:v>
                </c:pt>
                <c:pt idx="837">
                  <c:v>0.3</c:v>
                </c:pt>
                <c:pt idx="838">
                  <c:v>0.3</c:v>
                </c:pt>
                <c:pt idx="839">
                  <c:v>0.3</c:v>
                </c:pt>
                <c:pt idx="840">
                  <c:v>0.3</c:v>
                </c:pt>
                <c:pt idx="841">
                  <c:v>0.3</c:v>
                </c:pt>
                <c:pt idx="842">
                  <c:v>0.3</c:v>
                </c:pt>
                <c:pt idx="843">
                  <c:v>0.3</c:v>
                </c:pt>
                <c:pt idx="844">
                  <c:v>0.3</c:v>
                </c:pt>
                <c:pt idx="845">
                  <c:v>0.3</c:v>
                </c:pt>
                <c:pt idx="846">
                  <c:v>0.3</c:v>
                </c:pt>
                <c:pt idx="847">
                  <c:v>0.3</c:v>
                </c:pt>
                <c:pt idx="848">
                  <c:v>0.3</c:v>
                </c:pt>
                <c:pt idx="849">
                  <c:v>0.3</c:v>
                </c:pt>
                <c:pt idx="850">
                  <c:v>0.3</c:v>
                </c:pt>
                <c:pt idx="851">
                  <c:v>0.3</c:v>
                </c:pt>
                <c:pt idx="852">
                  <c:v>0.3</c:v>
                </c:pt>
                <c:pt idx="853">
                  <c:v>0.3</c:v>
                </c:pt>
                <c:pt idx="854">
                  <c:v>0.3</c:v>
                </c:pt>
                <c:pt idx="855">
                  <c:v>0.3</c:v>
                </c:pt>
                <c:pt idx="856">
                  <c:v>8.9</c:v>
                </c:pt>
                <c:pt idx="857">
                  <c:v>8.9</c:v>
                </c:pt>
                <c:pt idx="858">
                  <c:v>8</c:v>
                </c:pt>
                <c:pt idx="859">
                  <c:v>5.5</c:v>
                </c:pt>
                <c:pt idx="860">
                  <c:v>5.5</c:v>
                </c:pt>
                <c:pt idx="861">
                  <c:v>5.5</c:v>
                </c:pt>
                <c:pt idx="862">
                  <c:v>5.5</c:v>
                </c:pt>
                <c:pt idx="863">
                  <c:v>5.2</c:v>
                </c:pt>
                <c:pt idx="864">
                  <c:v>5.2</c:v>
                </c:pt>
                <c:pt idx="865">
                  <c:v>5.2</c:v>
                </c:pt>
                <c:pt idx="866">
                  <c:v>5.2</c:v>
                </c:pt>
                <c:pt idx="867">
                  <c:v>5.2</c:v>
                </c:pt>
                <c:pt idx="868">
                  <c:v>3.5</c:v>
                </c:pt>
                <c:pt idx="869">
                  <c:v>3.5</c:v>
                </c:pt>
                <c:pt idx="870">
                  <c:v>3.5</c:v>
                </c:pt>
                <c:pt idx="871">
                  <c:v>3.5</c:v>
                </c:pt>
                <c:pt idx="872">
                  <c:v>3.5</c:v>
                </c:pt>
                <c:pt idx="873">
                  <c:v>3.5</c:v>
                </c:pt>
                <c:pt idx="874">
                  <c:v>3.5</c:v>
                </c:pt>
                <c:pt idx="875">
                  <c:v>2.8</c:v>
                </c:pt>
                <c:pt idx="876">
                  <c:v>2.7</c:v>
                </c:pt>
                <c:pt idx="877">
                  <c:v>2.7</c:v>
                </c:pt>
                <c:pt idx="878">
                  <c:v>2.7</c:v>
                </c:pt>
                <c:pt idx="879">
                  <c:v>2.7</c:v>
                </c:pt>
                <c:pt idx="880">
                  <c:v>2.7</c:v>
                </c:pt>
                <c:pt idx="881">
                  <c:v>2.7</c:v>
                </c:pt>
                <c:pt idx="882">
                  <c:v>2.7</c:v>
                </c:pt>
                <c:pt idx="883">
                  <c:v>2.7</c:v>
                </c:pt>
                <c:pt idx="884">
                  <c:v>2.3</c:v>
                </c:pt>
                <c:pt idx="885">
                  <c:v>1.8</c:v>
                </c:pt>
                <c:pt idx="886">
                  <c:v>1.8</c:v>
                </c:pt>
                <c:pt idx="887">
                  <c:v>1.8</c:v>
                </c:pt>
                <c:pt idx="888">
                  <c:v>1.8</c:v>
                </c:pt>
                <c:pt idx="889">
                  <c:v>1.8</c:v>
                </c:pt>
                <c:pt idx="890">
                  <c:v>1.8</c:v>
                </c:pt>
                <c:pt idx="891">
                  <c:v>1.8</c:v>
                </c:pt>
                <c:pt idx="892">
                  <c:v>1.8</c:v>
                </c:pt>
                <c:pt idx="893">
                  <c:v>1.8</c:v>
                </c:pt>
                <c:pt idx="894">
                  <c:v>1.8</c:v>
                </c:pt>
                <c:pt idx="895">
                  <c:v>1.8</c:v>
                </c:pt>
                <c:pt idx="896">
                  <c:v>1.8</c:v>
                </c:pt>
                <c:pt idx="897">
                  <c:v>1.8</c:v>
                </c:pt>
                <c:pt idx="898">
                  <c:v>1.4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0.8</c:v>
                </c:pt>
                <c:pt idx="933">
                  <c:v>1.5</c:v>
                </c:pt>
                <c:pt idx="934">
                  <c:v>1.5</c:v>
                </c:pt>
                <c:pt idx="935">
                  <c:v>1.5</c:v>
                </c:pt>
                <c:pt idx="936">
                  <c:v>1.5</c:v>
                </c:pt>
                <c:pt idx="937">
                  <c:v>1.5</c:v>
                </c:pt>
                <c:pt idx="938">
                  <c:v>1.5</c:v>
                </c:pt>
                <c:pt idx="939">
                  <c:v>1.5</c:v>
                </c:pt>
                <c:pt idx="940">
                  <c:v>1.5</c:v>
                </c:pt>
                <c:pt idx="941">
                  <c:v>1.5</c:v>
                </c:pt>
                <c:pt idx="942">
                  <c:v>1.5</c:v>
                </c:pt>
                <c:pt idx="943">
                  <c:v>1.5</c:v>
                </c:pt>
                <c:pt idx="944">
                  <c:v>1.5</c:v>
                </c:pt>
                <c:pt idx="945">
                  <c:v>1.5</c:v>
                </c:pt>
                <c:pt idx="946">
                  <c:v>1.5</c:v>
                </c:pt>
                <c:pt idx="947">
                  <c:v>1.5</c:v>
                </c:pt>
                <c:pt idx="948">
                  <c:v>1.5</c:v>
                </c:pt>
                <c:pt idx="949">
                  <c:v>1.5</c:v>
                </c:pt>
                <c:pt idx="950">
                  <c:v>31</c:v>
                </c:pt>
                <c:pt idx="951">
                  <c:v>11.9</c:v>
                </c:pt>
                <c:pt idx="952">
                  <c:v>11.6</c:v>
                </c:pt>
                <c:pt idx="953">
                  <c:v>9.4</c:v>
                </c:pt>
                <c:pt idx="954">
                  <c:v>9.4</c:v>
                </c:pt>
                <c:pt idx="955">
                  <c:v>9.5</c:v>
                </c:pt>
                <c:pt idx="956">
                  <c:v>9.7</c:v>
                </c:pt>
                <c:pt idx="957">
                  <c:v>9.7</c:v>
                </c:pt>
                <c:pt idx="958">
                  <c:v>9.6</c:v>
                </c:pt>
                <c:pt idx="959">
                  <c:v>9.5</c:v>
                </c:pt>
                <c:pt idx="960">
                  <c:v>9.5</c:v>
                </c:pt>
                <c:pt idx="961">
                  <c:v>6.1</c:v>
                </c:pt>
                <c:pt idx="962">
                  <c:v>5.3</c:v>
                </c:pt>
                <c:pt idx="963">
                  <c:v>5.3</c:v>
                </c:pt>
                <c:pt idx="964">
                  <c:v>5.3</c:v>
                </c:pt>
                <c:pt idx="965">
                  <c:v>5.3</c:v>
                </c:pt>
                <c:pt idx="966">
                  <c:v>3.9</c:v>
                </c:pt>
                <c:pt idx="967">
                  <c:v>3.3</c:v>
                </c:pt>
                <c:pt idx="968">
                  <c:v>3.3</c:v>
                </c:pt>
                <c:pt idx="969">
                  <c:v>3.3</c:v>
                </c:pt>
                <c:pt idx="970">
                  <c:v>3.3</c:v>
                </c:pt>
                <c:pt idx="971">
                  <c:v>3.3</c:v>
                </c:pt>
                <c:pt idx="972">
                  <c:v>3.3</c:v>
                </c:pt>
                <c:pt idx="973">
                  <c:v>3.3</c:v>
                </c:pt>
                <c:pt idx="974">
                  <c:v>2.6</c:v>
                </c:pt>
                <c:pt idx="975">
                  <c:v>2.2</c:v>
                </c:pt>
                <c:pt idx="976">
                  <c:v>2.2</c:v>
                </c:pt>
                <c:pt idx="977">
                  <c:v>2.2</c:v>
                </c:pt>
                <c:pt idx="978">
                  <c:v>2.2</c:v>
                </c:pt>
                <c:pt idx="979">
                  <c:v>2.2</c:v>
                </c:pt>
                <c:pt idx="980">
                  <c:v>2.2</c:v>
                </c:pt>
                <c:pt idx="981">
                  <c:v>2.2</c:v>
                </c:pt>
                <c:pt idx="982">
                  <c:v>2.2</c:v>
                </c:pt>
                <c:pt idx="983">
                  <c:v>2.2</c:v>
                </c:pt>
                <c:pt idx="984">
                  <c:v>2.2</c:v>
                </c:pt>
                <c:pt idx="985">
                  <c:v>2.2</c:v>
                </c:pt>
                <c:pt idx="986">
                  <c:v>1.5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0.9</c:v>
                </c:pt>
                <c:pt idx="1015">
                  <c:v>0.9</c:v>
                </c:pt>
                <c:pt idx="1016">
                  <c:v>0.9</c:v>
                </c:pt>
                <c:pt idx="1017">
                  <c:v>0.9</c:v>
                </c:pt>
                <c:pt idx="1018">
                  <c:v>0.9</c:v>
                </c:pt>
                <c:pt idx="1019">
                  <c:v>0.9</c:v>
                </c:pt>
                <c:pt idx="1020">
                  <c:v>0.9</c:v>
                </c:pt>
                <c:pt idx="1021">
                  <c:v>0.9</c:v>
                </c:pt>
                <c:pt idx="1022">
                  <c:v>0.9</c:v>
                </c:pt>
                <c:pt idx="1023">
                  <c:v>0.9</c:v>
                </c:pt>
                <c:pt idx="1024">
                  <c:v>0.9</c:v>
                </c:pt>
                <c:pt idx="1025">
                  <c:v>0.9</c:v>
                </c:pt>
                <c:pt idx="1026">
                  <c:v>0.9</c:v>
                </c:pt>
                <c:pt idx="1027">
                  <c:v>0.9</c:v>
                </c:pt>
                <c:pt idx="1028">
                  <c:v>0.9</c:v>
                </c:pt>
                <c:pt idx="1029">
                  <c:v>0.9</c:v>
                </c:pt>
                <c:pt idx="1030">
                  <c:v>0.9</c:v>
                </c:pt>
                <c:pt idx="1031">
                  <c:v>0.9</c:v>
                </c:pt>
                <c:pt idx="1032">
                  <c:v>0.9</c:v>
                </c:pt>
                <c:pt idx="1033">
                  <c:v>0.9</c:v>
                </c:pt>
                <c:pt idx="1034">
                  <c:v>0.9</c:v>
                </c:pt>
                <c:pt idx="1035">
                  <c:v>0.9</c:v>
                </c:pt>
                <c:pt idx="1036">
                  <c:v>0.9</c:v>
                </c:pt>
                <c:pt idx="1037">
                  <c:v>0.9</c:v>
                </c:pt>
                <c:pt idx="1038">
                  <c:v>0.9</c:v>
                </c:pt>
                <c:pt idx="1039">
                  <c:v>0.9</c:v>
                </c:pt>
                <c:pt idx="1040">
                  <c:v>0.9</c:v>
                </c:pt>
                <c:pt idx="1041">
                  <c:v>0.9</c:v>
                </c:pt>
                <c:pt idx="1042">
                  <c:v>0.9</c:v>
                </c:pt>
                <c:pt idx="1043">
                  <c:v>0.9</c:v>
                </c:pt>
                <c:pt idx="1044">
                  <c:v>0.9</c:v>
                </c:pt>
                <c:pt idx="1045">
                  <c:v>0.9</c:v>
                </c:pt>
                <c:pt idx="1046">
                  <c:v>3.6</c:v>
                </c:pt>
                <c:pt idx="1047">
                  <c:v>8.9</c:v>
                </c:pt>
                <c:pt idx="1048">
                  <c:v>8.9</c:v>
                </c:pt>
                <c:pt idx="1049">
                  <c:v>9</c:v>
                </c:pt>
                <c:pt idx="1050">
                  <c:v>9.3</c:v>
                </c:pt>
                <c:pt idx="1051">
                  <c:v>9.3</c:v>
                </c:pt>
                <c:pt idx="1052">
                  <c:v>7.2</c:v>
                </c:pt>
                <c:pt idx="1053">
                  <c:v>2.3</c:v>
                </c:pt>
                <c:pt idx="1054">
                  <c:v>2.3</c:v>
                </c:pt>
                <c:pt idx="1055">
                  <c:v>2.3</c:v>
                </c:pt>
                <c:pt idx="1056">
                  <c:v>2.3</c:v>
                </c:pt>
                <c:pt idx="1057">
                  <c:v>2.3</c:v>
                </c:pt>
                <c:pt idx="1058">
                  <c:v>2.3</c:v>
                </c:pt>
                <c:pt idx="1059">
                  <c:v>2.3</c:v>
                </c:pt>
                <c:pt idx="1060">
                  <c:v>2.3</c:v>
                </c:pt>
                <c:pt idx="1061">
                  <c:v>2.3</c:v>
                </c:pt>
                <c:pt idx="1062">
                  <c:v>2.3</c:v>
                </c:pt>
                <c:pt idx="1063">
                  <c:v>2.3</c:v>
                </c:pt>
                <c:pt idx="1064">
                  <c:v>2.2</c:v>
                </c:pt>
                <c:pt idx="1065">
                  <c:v>0.5</c:v>
                </c:pt>
                <c:pt idx="1066">
                  <c:v>0.5</c:v>
                </c:pt>
                <c:pt idx="1067">
                  <c:v>0.5</c:v>
                </c:pt>
                <c:pt idx="1068">
                  <c:v>0.5</c:v>
                </c:pt>
                <c:pt idx="1069">
                  <c:v>0.5</c:v>
                </c:pt>
                <c:pt idx="1070">
                  <c:v>0.5</c:v>
                </c:pt>
                <c:pt idx="1071">
                  <c:v>0.5</c:v>
                </c:pt>
                <c:pt idx="1072">
                  <c:v>0.5</c:v>
                </c:pt>
                <c:pt idx="1073">
                  <c:v>0.5</c:v>
                </c:pt>
                <c:pt idx="1074">
                  <c:v>0.5</c:v>
                </c:pt>
                <c:pt idx="1075">
                  <c:v>0.5</c:v>
                </c:pt>
                <c:pt idx="1076">
                  <c:v>0.5</c:v>
                </c:pt>
                <c:pt idx="1077">
                  <c:v>0.5</c:v>
                </c:pt>
                <c:pt idx="1078">
                  <c:v>0.5</c:v>
                </c:pt>
                <c:pt idx="1079">
                  <c:v>0.5</c:v>
                </c:pt>
                <c:pt idx="1080">
                  <c:v>0.5</c:v>
                </c:pt>
                <c:pt idx="1081">
                  <c:v>0.5</c:v>
                </c:pt>
                <c:pt idx="1082">
                  <c:v>0.5</c:v>
                </c:pt>
                <c:pt idx="1083">
                  <c:v>0.5</c:v>
                </c:pt>
                <c:pt idx="1084">
                  <c:v>0.5</c:v>
                </c:pt>
                <c:pt idx="1085">
                  <c:v>0.5</c:v>
                </c:pt>
                <c:pt idx="1086">
                  <c:v>0.5</c:v>
                </c:pt>
                <c:pt idx="1087">
                  <c:v>0.5</c:v>
                </c:pt>
                <c:pt idx="1088">
                  <c:v>0.5</c:v>
                </c:pt>
                <c:pt idx="1089">
                  <c:v>0.5</c:v>
                </c:pt>
                <c:pt idx="1090">
                  <c:v>0.5</c:v>
                </c:pt>
                <c:pt idx="1091">
                  <c:v>0.5</c:v>
                </c:pt>
                <c:pt idx="1092">
                  <c:v>0.5</c:v>
                </c:pt>
                <c:pt idx="1093">
                  <c:v>0.5</c:v>
                </c:pt>
                <c:pt idx="1094">
                  <c:v>0.5</c:v>
                </c:pt>
                <c:pt idx="1095">
                  <c:v>0.5</c:v>
                </c:pt>
                <c:pt idx="1096">
                  <c:v>0.5</c:v>
                </c:pt>
                <c:pt idx="1097">
                  <c:v>0.5</c:v>
                </c:pt>
                <c:pt idx="1098">
                  <c:v>0.5</c:v>
                </c:pt>
                <c:pt idx="1099">
                  <c:v>0.5</c:v>
                </c:pt>
                <c:pt idx="1100">
                  <c:v>0.5</c:v>
                </c:pt>
                <c:pt idx="1101">
                  <c:v>0.5</c:v>
                </c:pt>
                <c:pt idx="1102">
                  <c:v>0.5</c:v>
                </c:pt>
                <c:pt idx="1103">
                  <c:v>0.5</c:v>
                </c:pt>
                <c:pt idx="1104">
                  <c:v>0.5</c:v>
                </c:pt>
                <c:pt idx="1105">
                  <c:v>0.5</c:v>
                </c:pt>
                <c:pt idx="1106">
                  <c:v>0.5</c:v>
                </c:pt>
                <c:pt idx="1107">
                  <c:v>0.5</c:v>
                </c:pt>
                <c:pt idx="1108">
                  <c:v>0.5</c:v>
                </c:pt>
                <c:pt idx="1109">
                  <c:v>0.5</c:v>
                </c:pt>
                <c:pt idx="1110">
                  <c:v>0.5</c:v>
                </c:pt>
                <c:pt idx="1111">
                  <c:v>0.5</c:v>
                </c:pt>
                <c:pt idx="1112">
                  <c:v>0.5</c:v>
                </c:pt>
                <c:pt idx="1113">
                  <c:v>0.5</c:v>
                </c:pt>
                <c:pt idx="1114">
                  <c:v>0.5</c:v>
                </c:pt>
                <c:pt idx="1115">
                  <c:v>0.5</c:v>
                </c:pt>
                <c:pt idx="1116">
                  <c:v>0.5</c:v>
                </c:pt>
                <c:pt idx="1117">
                  <c:v>0.5</c:v>
                </c:pt>
                <c:pt idx="1118">
                  <c:v>0.5</c:v>
                </c:pt>
                <c:pt idx="1119">
                  <c:v>0.5</c:v>
                </c:pt>
                <c:pt idx="1120">
                  <c:v>1.2</c:v>
                </c:pt>
                <c:pt idx="1121">
                  <c:v>1.2</c:v>
                </c:pt>
                <c:pt idx="1122">
                  <c:v>1.2</c:v>
                </c:pt>
                <c:pt idx="1123">
                  <c:v>1.2</c:v>
                </c:pt>
                <c:pt idx="1124">
                  <c:v>1.2</c:v>
                </c:pt>
                <c:pt idx="1125">
                  <c:v>1.2</c:v>
                </c:pt>
                <c:pt idx="1126">
                  <c:v>1.2</c:v>
                </c:pt>
                <c:pt idx="1127">
                  <c:v>1.2</c:v>
                </c:pt>
                <c:pt idx="1128">
                  <c:v>1.2</c:v>
                </c:pt>
                <c:pt idx="1129">
                  <c:v>1.2</c:v>
                </c:pt>
                <c:pt idx="1130">
                  <c:v>1.2</c:v>
                </c:pt>
                <c:pt idx="1131">
                  <c:v>1.2</c:v>
                </c:pt>
                <c:pt idx="1132">
                  <c:v>1.2</c:v>
                </c:pt>
                <c:pt idx="1133">
                  <c:v>1.2</c:v>
                </c:pt>
                <c:pt idx="1134">
                  <c:v>1.2</c:v>
                </c:pt>
                <c:pt idx="1135">
                  <c:v>1.2</c:v>
                </c:pt>
                <c:pt idx="1136">
                  <c:v>1.2</c:v>
                </c:pt>
                <c:pt idx="1137">
                  <c:v>1.2</c:v>
                </c:pt>
                <c:pt idx="1138">
                  <c:v>1.2</c:v>
                </c:pt>
                <c:pt idx="1139">
                  <c:v>1.2</c:v>
                </c:pt>
                <c:pt idx="1140">
                  <c:v>1.2</c:v>
                </c:pt>
                <c:pt idx="1141">
                  <c:v>1.2</c:v>
                </c:pt>
                <c:pt idx="1142">
                  <c:v>30.3</c:v>
                </c:pt>
                <c:pt idx="1143">
                  <c:v>5.3</c:v>
                </c:pt>
                <c:pt idx="1144">
                  <c:v>5.3</c:v>
                </c:pt>
                <c:pt idx="1145">
                  <c:v>5.3</c:v>
                </c:pt>
                <c:pt idx="1146">
                  <c:v>5.3</c:v>
                </c:pt>
                <c:pt idx="1147">
                  <c:v>5.3</c:v>
                </c:pt>
                <c:pt idx="1148">
                  <c:v>4.4</c:v>
                </c:pt>
                <c:pt idx="1149">
                  <c:v>4.4</c:v>
                </c:pt>
                <c:pt idx="1150">
                  <c:v>4.4</c:v>
                </c:pt>
                <c:pt idx="1151">
                  <c:v>4.4</c:v>
                </c:pt>
                <c:pt idx="1152">
                  <c:v>4.4</c:v>
                </c:pt>
                <c:pt idx="1153">
                  <c:v>4.4</c:v>
                </c:pt>
                <c:pt idx="1154">
                  <c:v>2.7</c:v>
                </c:pt>
                <c:pt idx="1155">
                  <c:v>1.4</c:v>
                </c:pt>
                <c:pt idx="1156">
                  <c:v>1.4</c:v>
                </c:pt>
                <c:pt idx="1157">
                  <c:v>1.4</c:v>
                </c:pt>
                <c:pt idx="1158">
                  <c:v>1.4</c:v>
                </c:pt>
                <c:pt idx="1159">
                  <c:v>1.4</c:v>
                </c:pt>
                <c:pt idx="1160">
                  <c:v>1.4</c:v>
                </c:pt>
                <c:pt idx="1161">
                  <c:v>1.4</c:v>
                </c:pt>
                <c:pt idx="1162">
                  <c:v>1.4</c:v>
                </c:pt>
                <c:pt idx="1163">
                  <c:v>1.4</c:v>
                </c:pt>
                <c:pt idx="1164">
                  <c:v>1.4</c:v>
                </c:pt>
                <c:pt idx="1165">
                  <c:v>1.4</c:v>
                </c:pt>
                <c:pt idx="1166">
                  <c:v>1.4</c:v>
                </c:pt>
                <c:pt idx="1167">
                  <c:v>1.4</c:v>
                </c:pt>
                <c:pt idx="1168">
                  <c:v>1.4</c:v>
                </c:pt>
                <c:pt idx="1169">
                  <c:v>1.4</c:v>
                </c:pt>
                <c:pt idx="1170">
                  <c:v>1.4</c:v>
                </c:pt>
                <c:pt idx="1171">
                  <c:v>1.4</c:v>
                </c:pt>
                <c:pt idx="1172">
                  <c:v>1.4</c:v>
                </c:pt>
                <c:pt idx="1173">
                  <c:v>1.4</c:v>
                </c:pt>
                <c:pt idx="1174">
                  <c:v>1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0.7</c:v>
                </c:pt>
                <c:pt idx="1202">
                  <c:v>0.7</c:v>
                </c:pt>
                <c:pt idx="1203">
                  <c:v>0.7</c:v>
                </c:pt>
                <c:pt idx="1204">
                  <c:v>0.7</c:v>
                </c:pt>
                <c:pt idx="1205">
                  <c:v>0.7</c:v>
                </c:pt>
                <c:pt idx="1206">
                  <c:v>0.7</c:v>
                </c:pt>
                <c:pt idx="1207">
                  <c:v>0.7</c:v>
                </c:pt>
                <c:pt idx="1208">
                  <c:v>0.7</c:v>
                </c:pt>
                <c:pt idx="1209">
                  <c:v>0.7</c:v>
                </c:pt>
                <c:pt idx="1210">
                  <c:v>0.7</c:v>
                </c:pt>
                <c:pt idx="1211">
                  <c:v>0.7</c:v>
                </c:pt>
                <c:pt idx="1212">
                  <c:v>0.7</c:v>
                </c:pt>
                <c:pt idx="1213">
                  <c:v>0.7</c:v>
                </c:pt>
                <c:pt idx="1214">
                  <c:v>0.9</c:v>
                </c:pt>
                <c:pt idx="1215">
                  <c:v>1.2</c:v>
                </c:pt>
                <c:pt idx="1216">
                  <c:v>1.2</c:v>
                </c:pt>
                <c:pt idx="1217">
                  <c:v>1.2</c:v>
                </c:pt>
                <c:pt idx="1218">
                  <c:v>1.2</c:v>
                </c:pt>
                <c:pt idx="1219">
                  <c:v>1.2</c:v>
                </c:pt>
                <c:pt idx="1220">
                  <c:v>1.2</c:v>
                </c:pt>
                <c:pt idx="1221">
                  <c:v>1.2</c:v>
                </c:pt>
                <c:pt idx="1222">
                  <c:v>1.2</c:v>
                </c:pt>
                <c:pt idx="1223">
                  <c:v>1.2</c:v>
                </c:pt>
                <c:pt idx="1224">
                  <c:v>1.2</c:v>
                </c:pt>
                <c:pt idx="1225">
                  <c:v>1.2</c:v>
                </c:pt>
                <c:pt idx="1226">
                  <c:v>1.2</c:v>
                </c:pt>
                <c:pt idx="1227">
                  <c:v>1.2</c:v>
                </c:pt>
                <c:pt idx="1228">
                  <c:v>1.2</c:v>
                </c:pt>
                <c:pt idx="1229">
                  <c:v>1.2</c:v>
                </c:pt>
                <c:pt idx="1230">
                  <c:v>1.2</c:v>
                </c:pt>
                <c:pt idx="1231">
                  <c:v>1.2</c:v>
                </c:pt>
                <c:pt idx="1232">
                  <c:v>1.2</c:v>
                </c:pt>
                <c:pt idx="1233">
                  <c:v>1.2</c:v>
                </c:pt>
                <c:pt idx="1234">
                  <c:v>1.2</c:v>
                </c:pt>
                <c:pt idx="1235">
                  <c:v>1.2</c:v>
                </c:pt>
                <c:pt idx="1236">
                  <c:v>1.2</c:v>
                </c:pt>
                <c:pt idx="1237">
                  <c:v>1.2</c:v>
                </c:pt>
                <c:pt idx="1238">
                  <c:v>31.9</c:v>
                </c:pt>
                <c:pt idx="1239">
                  <c:v>8.1</c:v>
                </c:pt>
                <c:pt idx="1240">
                  <c:v>8.1</c:v>
                </c:pt>
                <c:pt idx="1241">
                  <c:v>8.1</c:v>
                </c:pt>
                <c:pt idx="1242">
                  <c:v>5.2</c:v>
                </c:pt>
                <c:pt idx="1243">
                  <c:v>4.5</c:v>
                </c:pt>
                <c:pt idx="1244">
                  <c:v>4.5</c:v>
                </c:pt>
                <c:pt idx="1245">
                  <c:v>4.5</c:v>
                </c:pt>
                <c:pt idx="1246">
                  <c:v>4.5</c:v>
                </c:pt>
                <c:pt idx="1247">
                  <c:v>4.5</c:v>
                </c:pt>
                <c:pt idx="1248">
                  <c:v>3.1</c:v>
                </c:pt>
                <c:pt idx="1249">
                  <c:v>1.8</c:v>
                </c:pt>
                <c:pt idx="1250">
                  <c:v>1.8</c:v>
                </c:pt>
                <c:pt idx="1251">
                  <c:v>1.8</c:v>
                </c:pt>
                <c:pt idx="1252">
                  <c:v>1.8</c:v>
                </c:pt>
                <c:pt idx="1253">
                  <c:v>1.8</c:v>
                </c:pt>
                <c:pt idx="1254">
                  <c:v>1.8</c:v>
                </c:pt>
                <c:pt idx="1255">
                  <c:v>1.8</c:v>
                </c:pt>
                <c:pt idx="1256">
                  <c:v>1.8</c:v>
                </c:pt>
                <c:pt idx="1257">
                  <c:v>1.8</c:v>
                </c:pt>
                <c:pt idx="1258">
                  <c:v>1.8</c:v>
                </c:pt>
                <c:pt idx="1259">
                  <c:v>1.8</c:v>
                </c:pt>
                <c:pt idx="1260">
                  <c:v>1.8</c:v>
                </c:pt>
                <c:pt idx="1261">
                  <c:v>1.8</c:v>
                </c:pt>
                <c:pt idx="1262">
                  <c:v>1.8</c:v>
                </c:pt>
                <c:pt idx="1263">
                  <c:v>1.8</c:v>
                </c:pt>
                <c:pt idx="1264">
                  <c:v>1.1</c:v>
                </c:pt>
                <c:pt idx="1265">
                  <c:v>0.9</c:v>
                </c:pt>
                <c:pt idx="1266">
                  <c:v>0.9</c:v>
                </c:pt>
                <c:pt idx="1267">
                  <c:v>0.9</c:v>
                </c:pt>
                <c:pt idx="1268">
                  <c:v>0.9</c:v>
                </c:pt>
                <c:pt idx="1269">
                  <c:v>0.9</c:v>
                </c:pt>
                <c:pt idx="1270">
                  <c:v>0.9</c:v>
                </c:pt>
                <c:pt idx="1271">
                  <c:v>0.9</c:v>
                </c:pt>
                <c:pt idx="1272">
                  <c:v>0.9</c:v>
                </c:pt>
                <c:pt idx="1273">
                  <c:v>0.9</c:v>
                </c:pt>
                <c:pt idx="1274">
                  <c:v>0.9</c:v>
                </c:pt>
                <c:pt idx="1275">
                  <c:v>0.9</c:v>
                </c:pt>
                <c:pt idx="1276">
                  <c:v>0.9</c:v>
                </c:pt>
                <c:pt idx="1277">
                  <c:v>0.9</c:v>
                </c:pt>
                <c:pt idx="1278">
                  <c:v>0.9</c:v>
                </c:pt>
                <c:pt idx="1279">
                  <c:v>0.9</c:v>
                </c:pt>
                <c:pt idx="1280">
                  <c:v>0.9</c:v>
                </c:pt>
                <c:pt idx="1281">
                  <c:v>0.9</c:v>
                </c:pt>
                <c:pt idx="1282">
                  <c:v>0.9</c:v>
                </c:pt>
                <c:pt idx="1283">
                  <c:v>0.9</c:v>
                </c:pt>
                <c:pt idx="1284">
                  <c:v>0.9</c:v>
                </c:pt>
                <c:pt idx="1285">
                  <c:v>0.9</c:v>
                </c:pt>
                <c:pt idx="1286">
                  <c:v>0.9</c:v>
                </c:pt>
                <c:pt idx="1287">
                  <c:v>0.9</c:v>
                </c:pt>
                <c:pt idx="1288">
                  <c:v>0.9</c:v>
                </c:pt>
                <c:pt idx="1289">
                  <c:v>0.9</c:v>
                </c:pt>
                <c:pt idx="1290">
                  <c:v>0.9</c:v>
                </c:pt>
                <c:pt idx="1291">
                  <c:v>0.9</c:v>
                </c:pt>
                <c:pt idx="1292">
                  <c:v>0.9</c:v>
                </c:pt>
                <c:pt idx="1293">
                  <c:v>0.9</c:v>
                </c:pt>
                <c:pt idx="1294">
                  <c:v>0.9</c:v>
                </c:pt>
                <c:pt idx="1295">
                  <c:v>0.9</c:v>
                </c:pt>
                <c:pt idx="1296">
                  <c:v>1</c:v>
                </c:pt>
                <c:pt idx="1297">
                  <c:v>1.1</c:v>
                </c:pt>
                <c:pt idx="1298">
                  <c:v>1.1</c:v>
                </c:pt>
                <c:pt idx="1299">
                  <c:v>1.1</c:v>
                </c:pt>
                <c:pt idx="1300">
                  <c:v>1.1</c:v>
                </c:pt>
                <c:pt idx="1301">
                  <c:v>1.1</c:v>
                </c:pt>
                <c:pt idx="1302">
                  <c:v>1.1</c:v>
                </c:pt>
                <c:pt idx="1303">
                  <c:v>1.1</c:v>
                </c:pt>
                <c:pt idx="1304">
                  <c:v>1.1</c:v>
                </c:pt>
                <c:pt idx="1305">
                  <c:v>1.1</c:v>
                </c:pt>
                <c:pt idx="1306">
                  <c:v>1.1</c:v>
                </c:pt>
                <c:pt idx="1307">
                  <c:v>1.1</c:v>
                </c:pt>
                <c:pt idx="1308">
                  <c:v>1.1</c:v>
                </c:pt>
                <c:pt idx="1309">
                  <c:v>1.1</c:v>
                </c:pt>
                <c:pt idx="1310">
                  <c:v>1.1</c:v>
                </c:pt>
                <c:pt idx="1311">
                  <c:v>1.1</c:v>
                </c:pt>
                <c:pt idx="1312">
                  <c:v>1.1</c:v>
                </c:pt>
                <c:pt idx="1313">
                  <c:v>1.1</c:v>
                </c:pt>
                <c:pt idx="1314">
                  <c:v>1.1</c:v>
                </c:pt>
                <c:pt idx="1315">
                  <c:v>1.1</c:v>
                </c:pt>
                <c:pt idx="1316">
                  <c:v>1.1</c:v>
                </c:pt>
                <c:pt idx="1317">
                  <c:v>1.1</c:v>
                </c:pt>
                <c:pt idx="1318">
                  <c:v>1.1</c:v>
                </c:pt>
                <c:pt idx="1319">
                  <c:v>1.1</c:v>
                </c:pt>
                <c:pt idx="1320">
                  <c:v>1.1</c:v>
                </c:pt>
                <c:pt idx="1321">
                  <c:v>1.1</c:v>
                </c:pt>
                <c:pt idx="1322">
                  <c:v>2.3</c:v>
                </c:pt>
                <c:pt idx="1323">
                  <c:v>2.3</c:v>
                </c:pt>
                <c:pt idx="1324">
                  <c:v>2.3</c:v>
                </c:pt>
                <c:pt idx="1325">
                  <c:v>2.3</c:v>
                </c:pt>
                <c:pt idx="1326">
                  <c:v>2.3</c:v>
                </c:pt>
                <c:pt idx="1327">
                  <c:v>2.3</c:v>
                </c:pt>
                <c:pt idx="1328">
                  <c:v>2.3</c:v>
                </c:pt>
                <c:pt idx="1329">
                  <c:v>2.3</c:v>
                </c:pt>
                <c:pt idx="1330">
                  <c:v>2.3</c:v>
                </c:pt>
                <c:pt idx="1331">
                  <c:v>2.3</c:v>
                </c:pt>
                <c:pt idx="1332">
                  <c:v>2.3</c:v>
                </c:pt>
                <c:pt idx="1333">
                  <c:v>2.3</c:v>
                </c:pt>
                <c:pt idx="1334">
                  <c:v>32</c:v>
                </c:pt>
                <c:pt idx="1335">
                  <c:v>6.9</c:v>
                </c:pt>
                <c:pt idx="1336">
                  <c:v>6.9</c:v>
                </c:pt>
                <c:pt idx="1337">
                  <c:v>6.9</c:v>
                </c:pt>
                <c:pt idx="1338">
                  <c:v>6.3</c:v>
                </c:pt>
                <c:pt idx="1339">
                  <c:v>0.4</c:v>
                </c:pt>
                <c:pt idx="1340">
                  <c:v>0.4</c:v>
                </c:pt>
                <c:pt idx="1341">
                  <c:v>0.4</c:v>
                </c:pt>
                <c:pt idx="1342">
                  <c:v>0.4</c:v>
                </c:pt>
                <c:pt idx="1343">
                  <c:v>0.4</c:v>
                </c:pt>
                <c:pt idx="1344">
                  <c:v>0.4</c:v>
                </c:pt>
                <c:pt idx="1345">
                  <c:v>0.4</c:v>
                </c:pt>
                <c:pt idx="1346">
                  <c:v>0.4</c:v>
                </c:pt>
                <c:pt idx="1347">
                  <c:v>0.4</c:v>
                </c:pt>
                <c:pt idx="1348">
                  <c:v>0.4</c:v>
                </c:pt>
                <c:pt idx="1349">
                  <c:v>0.4</c:v>
                </c:pt>
                <c:pt idx="1350">
                  <c:v>0.4</c:v>
                </c:pt>
                <c:pt idx="1351">
                  <c:v>0.4</c:v>
                </c:pt>
                <c:pt idx="1352">
                  <c:v>0.4</c:v>
                </c:pt>
                <c:pt idx="1353">
                  <c:v>0.4</c:v>
                </c:pt>
                <c:pt idx="1354">
                  <c:v>0.4</c:v>
                </c:pt>
                <c:pt idx="1355">
                  <c:v>0.4</c:v>
                </c:pt>
                <c:pt idx="1356">
                  <c:v>0.4</c:v>
                </c:pt>
                <c:pt idx="1357">
                  <c:v>0.4</c:v>
                </c:pt>
                <c:pt idx="1358">
                  <c:v>0.4</c:v>
                </c:pt>
                <c:pt idx="1359">
                  <c:v>0.4</c:v>
                </c:pt>
                <c:pt idx="1360">
                  <c:v>0.4</c:v>
                </c:pt>
                <c:pt idx="1361">
                  <c:v>0.4</c:v>
                </c:pt>
                <c:pt idx="1362">
                  <c:v>0.4</c:v>
                </c:pt>
                <c:pt idx="1363">
                  <c:v>0.4</c:v>
                </c:pt>
                <c:pt idx="1364">
                  <c:v>0.4</c:v>
                </c:pt>
                <c:pt idx="1365">
                  <c:v>0.4</c:v>
                </c:pt>
                <c:pt idx="1366">
                  <c:v>0.4</c:v>
                </c:pt>
                <c:pt idx="1367">
                  <c:v>0.4</c:v>
                </c:pt>
                <c:pt idx="1368">
                  <c:v>0.4</c:v>
                </c:pt>
                <c:pt idx="1369">
                  <c:v>0.4</c:v>
                </c:pt>
                <c:pt idx="1370">
                  <c:v>0.4</c:v>
                </c:pt>
                <c:pt idx="1371">
                  <c:v>0.4</c:v>
                </c:pt>
                <c:pt idx="1372">
                  <c:v>0.4</c:v>
                </c:pt>
                <c:pt idx="1373">
                  <c:v>0.4</c:v>
                </c:pt>
                <c:pt idx="1374">
                  <c:v>0.4</c:v>
                </c:pt>
                <c:pt idx="1375">
                  <c:v>0.4</c:v>
                </c:pt>
                <c:pt idx="1376">
                  <c:v>0.4</c:v>
                </c:pt>
                <c:pt idx="1377">
                  <c:v>0.4</c:v>
                </c:pt>
                <c:pt idx="1378">
                  <c:v>0.4</c:v>
                </c:pt>
                <c:pt idx="1379">
                  <c:v>0.4</c:v>
                </c:pt>
                <c:pt idx="1380">
                  <c:v>0.4</c:v>
                </c:pt>
                <c:pt idx="1381">
                  <c:v>0.4</c:v>
                </c:pt>
                <c:pt idx="1382">
                  <c:v>0.4</c:v>
                </c:pt>
                <c:pt idx="1383">
                  <c:v>0.4</c:v>
                </c:pt>
                <c:pt idx="1384">
                  <c:v>0.4</c:v>
                </c:pt>
                <c:pt idx="1385">
                  <c:v>0.4</c:v>
                </c:pt>
                <c:pt idx="1386">
                  <c:v>0.4</c:v>
                </c:pt>
                <c:pt idx="1387">
                  <c:v>0.4</c:v>
                </c:pt>
                <c:pt idx="1388">
                  <c:v>0.4</c:v>
                </c:pt>
                <c:pt idx="1389">
                  <c:v>0.4</c:v>
                </c:pt>
                <c:pt idx="1390">
                  <c:v>0.4</c:v>
                </c:pt>
                <c:pt idx="1391">
                  <c:v>0.4</c:v>
                </c:pt>
                <c:pt idx="1392">
                  <c:v>0.4</c:v>
                </c:pt>
                <c:pt idx="1393">
                  <c:v>0.4</c:v>
                </c:pt>
                <c:pt idx="1394">
                  <c:v>0.4</c:v>
                </c:pt>
                <c:pt idx="1395">
                  <c:v>0.4</c:v>
                </c:pt>
                <c:pt idx="1396">
                  <c:v>0.4</c:v>
                </c:pt>
                <c:pt idx="1397">
                  <c:v>0.4</c:v>
                </c:pt>
                <c:pt idx="1398">
                  <c:v>0.4</c:v>
                </c:pt>
                <c:pt idx="1399">
                  <c:v>0.4</c:v>
                </c:pt>
                <c:pt idx="1400">
                  <c:v>0.4</c:v>
                </c:pt>
                <c:pt idx="1401">
                  <c:v>0.4</c:v>
                </c:pt>
                <c:pt idx="1402">
                  <c:v>0.4</c:v>
                </c:pt>
                <c:pt idx="1403">
                  <c:v>0.4</c:v>
                </c:pt>
                <c:pt idx="1404">
                  <c:v>0.4</c:v>
                </c:pt>
                <c:pt idx="1405">
                  <c:v>0.4</c:v>
                </c:pt>
                <c:pt idx="1406">
                  <c:v>0.4</c:v>
                </c:pt>
                <c:pt idx="1407">
                  <c:v>0.4</c:v>
                </c:pt>
                <c:pt idx="1408">
                  <c:v>0.4</c:v>
                </c:pt>
                <c:pt idx="1409">
                  <c:v>0.4</c:v>
                </c:pt>
                <c:pt idx="1410">
                  <c:v>0.4</c:v>
                </c:pt>
                <c:pt idx="1411">
                  <c:v>0.4</c:v>
                </c:pt>
                <c:pt idx="1412">
                  <c:v>0.4</c:v>
                </c:pt>
                <c:pt idx="1413">
                  <c:v>0.4</c:v>
                </c:pt>
                <c:pt idx="1414">
                  <c:v>0.4</c:v>
                </c:pt>
                <c:pt idx="1415">
                  <c:v>0.4</c:v>
                </c:pt>
                <c:pt idx="1416">
                  <c:v>0.6</c:v>
                </c:pt>
                <c:pt idx="1417">
                  <c:v>2.1</c:v>
                </c:pt>
                <c:pt idx="1418">
                  <c:v>2.1</c:v>
                </c:pt>
                <c:pt idx="1419">
                  <c:v>2.1</c:v>
                </c:pt>
                <c:pt idx="1420">
                  <c:v>2.1</c:v>
                </c:pt>
                <c:pt idx="1421">
                  <c:v>2.1</c:v>
                </c:pt>
                <c:pt idx="1422">
                  <c:v>2.1</c:v>
                </c:pt>
                <c:pt idx="1423">
                  <c:v>2.1</c:v>
                </c:pt>
                <c:pt idx="1424">
                  <c:v>2.1</c:v>
                </c:pt>
                <c:pt idx="1425">
                  <c:v>2.1</c:v>
                </c:pt>
                <c:pt idx="1426">
                  <c:v>2.1</c:v>
                </c:pt>
                <c:pt idx="1427">
                  <c:v>2.1</c:v>
                </c:pt>
                <c:pt idx="1428">
                  <c:v>2.1</c:v>
                </c:pt>
                <c:pt idx="1429">
                  <c:v>2.1</c:v>
                </c:pt>
                <c:pt idx="1430">
                  <c:v>33.2</c:v>
                </c:pt>
                <c:pt idx="1431">
                  <c:v>8.9</c:v>
                </c:pt>
                <c:pt idx="1432">
                  <c:v>8.9</c:v>
                </c:pt>
                <c:pt idx="1433">
                  <c:v>8.7</c:v>
                </c:pt>
                <c:pt idx="1434">
                  <c:v>6.2</c:v>
                </c:pt>
                <c:pt idx="1435">
                  <c:v>6.2</c:v>
                </c:pt>
                <c:pt idx="1436">
                  <c:v>6.2</c:v>
                </c:pt>
                <c:pt idx="1437">
                  <c:v>6.2</c:v>
                </c:pt>
                <c:pt idx="1438">
                  <c:v>4.8</c:v>
                </c:pt>
                <c:pt idx="1439">
                  <c:v>2.1</c:v>
                </c:pt>
                <c:pt idx="1440">
                  <c:v>2.1</c:v>
                </c:pt>
                <c:pt idx="1441">
                  <c:v>2.1</c:v>
                </c:pt>
                <c:pt idx="1442">
                  <c:v>2.1</c:v>
                </c:pt>
                <c:pt idx="1443">
                  <c:v>2.1</c:v>
                </c:pt>
                <c:pt idx="1444">
                  <c:v>2.1</c:v>
                </c:pt>
                <c:pt idx="1445">
                  <c:v>2.1</c:v>
                </c:pt>
                <c:pt idx="1446">
                  <c:v>2.1</c:v>
                </c:pt>
                <c:pt idx="1447">
                  <c:v>2.1</c:v>
                </c:pt>
                <c:pt idx="1448">
                  <c:v>2.1</c:v>
                </c:pt>
                <c:pt idx="1449">
                  <c:v>2.1</c:v>
                </c:pt>
                <c:pt idx="1450">
                  <c:v>2.1</c:v>
                </c:pt>
                <c:pt idx="1451">
                  <c:v>2.1</c:v>
                </c:pt>
                <c:pt idx="1452">
                  <c:v>1.5</c:v>
                </c:pt>
                <c:pt idx="1453">
                  <c:v>1.2</c:v>
                </c:pt>
                <c:pt idx="1454">
                  <c:v>1.2</c:v>
                </c:pt>
                <c:pt idx="1455">
                  <c:v>1.2</c:v>
                </c:pt>
                <c:pt idx="1456">
                  <c:v>1.2</c:v>
                </c:pt>
                <c:pt idx="1457">
                  <c:v>1.2</c:v>
                </c:pt>
                <c:pt idx="1458">
                  <c:v>1.2</c:v>
                </c:pt>
                <c:pt idx="1459">
                  <c:v>1.2</c:v>
                </c:pt>
                <c:pt idx="1460">
                  <c:v>1.2</c:v>
                </c:pt>
                <c:pt idx="1461">
                  <c:v>1.2</c:v>
                </c:pt>
                <c:pt idx="1462">
                  <c:v>1.2</c:v>
                </c:pt>
                <c:pt idx="1463">
                  <c:v>1.2</c:v>
                </c:pt>
                <c:pt idx="1464">
                  <c:v>1.2</c:v>
                </c:pt>
                <c:pt idx="1465">
                  <c:v>1.2</c:v>
                </c:pt>
                <c:pt idx="1466">
                  <c:v>1.2</c:v>
                </c:pt>
                <c:pt idx="1467">
                  <c:v>1.2</c:v>
                </c:pt>
                <c:pt idx="1468">
                  <c:v>1.2</c:v>
                </c:pt>
                <c:pt idx="1469">
                  <c:v>1.2</c:v>
                </c:pt>
                <c:pt idx="1470">
                  <c:v>1.2</c:v>
                </c:pt>
                <c:pt idx="1471">
                  <c:v>1.2</c:v>
                </c:pt>
                <c:pt idx="1472">
                  <c:v>1.2</c:v>
                </c:pt>
                <c:pt idx="1473">
                  <c:v>1.2</c:v>
                </c:pt>
                <c:pt idx="1474">
                  <c:v>1.2</c:v>
                </c:pt>
                <c:pt idx="1475">
                  <c:v>1.2</c:v>
                </c:pt>
                <c:pt idx="1476">
                  <c:v>1.1</c:v>
                </c:pt>
                <c:pt idx="1477">
                  <c:v>1.1</c:v>
                </c:pt>
                <c:pt idx="1478">
                  <c:v>1.1</c:v>
                </c:pt>
                <c:pt idx="1479">
                  <c:v>1.1</c:v>
                </c:pt>
                <c:pt idx="1480">
                  <c:v>1.1</c:v>
                </c:pt>
                <c:pt idx="1481">
                  <c:v>1.1</c:v>
                </c:pt>
                <c:pt idx="1482">
                  <c:v>1.1</c:v>
                </c:pt>
                <c:pt idx="1483">
                  <c:v>1.1</c:v>
                </c:pt>
                <c:pt idx="1484">
                  <c:v>1.1</c:v>
                </c:pt>
                <c:pt idx="1485">
                  <c:v>1.1</c:v>
                </c:pt>
                <c:pt idx="1486">
                  <c:v>1.1</c:v>
                </c:pt>
                <c:pt idx="1487">
                  <c:v>1.1</c:v>
                </c:pt>
                <c:pt idx="1488">
                  <c:v>1.1</c:v>
                </c:pt>
                <c:pt idx="1489">
                  <c:v>1.1</c:v>
                </c:pt>
                <c:pt idx="1490">
                  <c:v>1.1</c:v>
                </c:pt>
                <c:pt idx="1491">
                  <c:v>1.1</c:v>
                </c:pt>
                <c:pt idx="1492">
                  <c:v>1.1</c:v>
                </c:pt>
                <c:pt idx="1493">
                  <c:v>1.1</c:v>
                </c:pt>
                <c:pt idx="1494">
                  <c:v>1.1</c:v>
                </c:pt>
                <c:pt idx="1495">
                  <c:v>1.1</c:v>
                </c:pt>
                <c:pt idx="1496">
                  <c:v>1.1</c:v>
                </c:pt>
                <c:pt idx="1497">
                  <c:v>1.1</c:v>
                </c:pt>
                <c:pt idx="1498">
                  <c:v>1.1</c:v>
                </c:pt>
                <c:pt idx="1499">
                  <c:v>1.1</c:v>
                </c:pt>
                <c:pt idx="1500">
                  <c:v>1.1</c:v>
                </c:pt>
                <c:pt idx="1501">
                  <c:v>1.1</c:v>
                </c:pt>
                <c:pt idx="1502">
                  <c:v>1.1</c:v>
                </c:pt>
                <c:pt idx="1503">
                  <c:v>1.4</c:v>
                </c:pt>
                <c:pt idx="1504">
                  <c:v>1.4</c:v>
                </c:pt>
                <c:pt idx="1505">
                  <c:v>1.4</c:v>
                </c:pt>
                <c:pt idx="1506">
                  <c:v>1.4</c:v>
                </c:pt>
                <c:pt idx="1507">
                  <c:v>1.4</c:v>
                </c:pt>
                <c:pt idx="1508">
                  <c:v>1.4</c:v>
                </c:pt>
                <c:pt idx="1509">
                  <c:v>1.4</c:v>
                </c:pt>
                <c:pt idx="1510">
                  <c:v>1.4</c:v>
                </c:pt>
                <c:pt idx="1511">
                  <c:v>1.4</c:v>
                </c:pt>
                <c:pt idx="1512">
                  <c:v>1.4</c:v>
                </c:pt>
                <c:pt idx="1513">
                  <c:v>1.4</c:v>
                </c:pt>
                <c:pt idx="1514">
                  <c:v>1.4</c:v>
                </c:pt>
                <c:pt idx="1515">
                  <c:v>1.4</c:v>
                </c:pt>
                <c:pt idx="1516">
                  <c:v>1.4</c:v>
                </c:pt>
                <c:pt idx="1517">
                  <c:v>1.4</c:v>
                </c:pt>
                <c:pt idx="1518">
                  <c:v>1.4</c:v>
                </c:pt>
                <c:pt idx="1519">
                  <c:v>1.4</c:v>
                </c:pt>
                <c:pt idx="1520">
                  <c:v>1.4</c:v>
                </c:pt>
                <c:pt idx="1521">
                  <c:v>1.4</c:v>
                </c:pt>
                <c:pt idx="1522">
                  <c:v>1.4</c:v>
                </c:pt>
                <c:pt idx="1523">
                  <c:v>1.4</c:v>
                </c:pt>
                <c:pt idx="1524">
                  <c:v>10.1</c:v>
                </c:pt>
                <c:pt idx="1525">
                  <c:v>12.1</c:v>
                </c:pt>
                <c:pt idx="1526">
                  <c:v>10.8</c:v>
                </c:pt>
                <c:pt idx="1527">
                  <c:v>8.8</c:v>
                </c:pt>
                <c:pt idx="1528">
                  <c:v>8.8</c:v>
                </c:pt>
                <c:pt idx="1529">
                  <c:v>8.6</c:v>
                </c:pt>
                <c:pt idx="1530">
                  <c:v>2.8</c:v>
                </c:pt>
                <c:pt idx="1531">
                  <c:v>2.8</c:v>
                </c:pt>
                <c:pt idx="1532">
                  <c:v>2.8</c:v>
                </c:pt>
                <c:pt idx="1533">
                  <c:v>2.8</c:v>
                </c:pt>
                <c:pt idx="1534">
                  <c:v>2.8</c:v>
                </c:pt>
                <c:pt idx="1535">
                  <c:v>2.8</c:v>
                </c:pt>
                <c:pt idx="1536">
                  <c:v>2.8</c:v>
                </c:pt>
                <c:pt idx="1537">
                  <c:v>2.8</c:v>
                </c:pt>
                <c:pt idx="1538">
                  <c:v>2.8</c:v>
                </c:pt>
                <c:pt idx="1539">
                  <c:v>2.8</c:v>
                </c:pt>
                <c:pt idx="1540">
                  <c:v>1.7</c:v>
                </c:pt>
                <c:pt idx="1541">
                  <c:v>1.2</c:v>
                </c:pt>
                <c:pt idx="1542">
                  <c:v>1.2</c:v>
                </c:pt>
                <c:pt idx="1543">
                  <c:v>1.2</c:v>
                </c:pt>
                <c:pt idx="1544">
                  <c:v>1.2</c:v>
                </c:pt>
                <c:pt idx="1545">
                  <c:v>1.2</c:v>
                </c:pt>
                <c:pt idx="1546">
                  <c:v>1.2</c:v>
                </c:pt>
                <c:pt idx="1547">
                  <c:v>1.2</c:v>
                </c:pt>
                <c:pt idx="1548">
                  <c:v>1.2</c:v>
                </c:pt>
                <c:pt idx="1549">
                  <c:v>1.2</c:v>
                </c:pt>
                <c:pt idx="1550">
                  <c:v>1.2</c:v>
                </c:pt>
                <c:pt idx="1551">
                  <c:v>1.2</c:v>
                </c:pt>
                <c:pt idx="1552">
                  <c:v>1.2</c:v>
                </c:pt>
                <c:pt idx="1553">
                  <c:v>1.2</c:v>
                </c:pt>
                <c:pt idx="1554">
                  <c:v>1.2</c:v>
                </c:pt>
                <c:pt idx="1555">
                  <c:v>1.2</c:v>
                </c:pt>
                <c:pt idx="1556">
                  <c:v>1.2</c:v>
                </c:pt>
                <c:pt idx="1557">
                  <c:v>1.2</c:v>
                </c:pt>
                <c:pt idx="1558">
                  <c:v>1.2</c:v>
                </c:pt>
                <c:pt idx="1559">
                  <c:v>1.2</c:v>
                </c:pt>
                <c:pt idx="1560">
                  <c:v>1.2</c:v>
                </c:pt>
                <c:pt idx="1561">
                  <c:v>1.2</c:v>
                </c:pt>
                <c:pt idx="1562">
                  <c:v>1.2</c:v>
                </c:pt>
                <c:pt idx="1563">
                  <c:v>1.2</c:v>
                </c:pt>
                <c:pt idx="1564">
                  <c:v>1.2</c:v>
                </c:pt>
                <c:pt idx="1565">
                  <c:v>1.1</c:v>
                </c:pt>
                <c:pt idx="1566">
                  <c:v>1.1</c:v>
                </c:pt>
                <c:pt idx="1567">
                  <c:v>1.1</c:v>
                </c:pt>
                <c:pt idx="1568">
                  <c:v>1.1</c:v>
                </c:pt>
                <c:pt idx="1569">
                  <c:v>1.1</c:v>
                </c:pt>
                <c:pt idx="1570">
                  <c:v>1.1</c:v>
                </c:pt>
                <c:pt idx="1571">
                  <c:v>1.1</c:v>
                </c:pt>
                <c:pt idx="1572">
                  <c:v>1.1</c:v>
                </c:pt>
                <c:pt idx="1573">
                  <c:v>1.1</c:v>
                </c:pt>
                <c:pt idx="1574">
                  <c:v>1.1</c:v>
                </c:pt>
                <c:pt idx="1575">
                  <c:v>1.1</c:v>
                </c:pt>
                <c:pt idx="1576">
                  <c:v>1.1</c:v>
                </c:pt>
                <c:pt idx="1577">
                  <c:v>1.1</c:v>
                </c:pt>
                <c:pt idx="1578">
                  <c:v>1.1</c:v>
                </c:pt>
                <c:pt idx="1579">
                  <c:v>1.1</c:v>
                </c:pt>
                <c:pt idx="1580">
                  <c:v>1.1</c:v>
                </c:pt>
                <c:pt idx="1581">
                  <c:v>1.1</c:v>
                </c:pt>
                <c:pt idx="1582">
                  <c:v>1.1</c:v>
                </c:pt>
                <c:pt idx="1583">
                  <c:v>1.1</c:v>
                </c:pt>
                <c:pt idx="1584">
                  <c:v>1.1</c:v>
                </c:pt>
                <c:pt idx="1585">
                  <c:v>1.1</c:v>
                </c:pt>
                <c:pt idx="1586">
                  <c:v>1.1</c:v>
                </c:pt>
                <c:pt idx="1587">
                  <c:v>1.1</c:v>
                </c:pt>
                <c:pt idx="1588">
                  <c:v>1.1</c:v>
                </c:pt>
                <c:pt idx="1589">
                  <c:v>1.1</c:v>
                </c:pt>
                <c:pt idx="1590">
                  <c:v>1.1</c:v>
                </c:pt>
                <c:pt idx="1591">
                  <c:v>1.1</c:v>
                </c:pt>
                <c:pt idx="1592">
                  <c:v>1.2</c:v>
                </c:pt>
                <c:pt idx="1593">
                  <c:v>1.2</c:v>
                </c:pt>
                <c:pt idx="1594">
                  <c:v>1.2</c:v>
                </c:pt>
                <c:pt idx="1595">
                  <c:v>1.2</c:v>
                </c:pt>
                <c:pt idx="1596">
                  <c:v>1.2</c:v>
                </c:pt>
                <c:pt idx="1597">
                  <c:v>1.2</c:v>
                </c:pt>
                <c:pt idx="1598">
                  <c:v>1.2</c:v>
                </c:pt>
                <c:pt idx="1599">
                  <c:v>1.2</c:v>
                </c:pt>
                <c:pt idx="1600">
                  <c:v>1.2</c:v>
                </c:pt>
                <c:pt idx="1601">
                  <c:v>1.2</c:v>
                </c:pt>
                <c:pt idx="1602">
                  <c:v>1.2</c:v>
                </c:pt>
                <c:pt idx="1603">
                  <c:v>1.2</c:v>
                </c:pt>
                <c:pt idx="1604">
                  <c:v>1.2</c:v>
                </c:pt>
                <c:pt idx="1605">
                  <c:v>1.2</c:v>
                </c:pt>
                <c:pt idx="1606">
                  <c:v>1.2</c:v>
                </c:pt>
                <c:pt idx="1607">
                  <c:v>1.2</c:v>
                </c:pt>
                <c:pt idx="1608">
                  <c:v>1.2</c:v>
                </c:pt>
                <c:pt idx="1609">
                  <c:v>1.2</c:v>
                </c:pt>
                <c:pt idx="1610">
                  <c:v>1.2</c:v>
                </c:pt>
                <c:pt idx="1611">
                  <c:v>1.2</c:v>
                </c:pt>
                <c:pt idx="1612">
                  <c:v>1.2</c:v>
                </c:pt>
                <c:pt idx="1613">
                  <c:v>1.2</c:v>
                </c:pt>
                <c:pt idx="1614">
                  <c:v>1.2</c:v>
                </c:pt>
                <c:pt idx="1615">
                  <c:v>1.2</c:v>
                </c:pt>
                <c:pt idx="1616">
                  <c:v>4.3</c:v>
                </c:pt>
                <c:pt idx="1617">
                  <c:v>4.6</c:v>
                </c:pt>
                <c:pt idx="1618">
                  <c:v>4.6</c:v>
                </c:pt>
                <c:pt idx="1619">
                  <c:v>4.6</c:v>
                </c:pt>
                <c:pt idx="1620">
                  <c:v>4.6</c:v>
                </c:pt>
                <c:pt idx="1621">
                  <c:v>4.6</c:v>
                </c:pt>
                <c:pt idx="1622">
                  <c:v>8.8</c:v>
                </c:pt>
                <c:pt idx="1623">
                  <c:v>14.5</c:v>
                </c:pt>
                <c:pt idx="1624">
                  <c:v>9.9</c:v>
                </c:pt>
                <c:pt idx="1625">
                  <c:v>2.5</c:v>
                </c:pt>
                <c:pt idx="1626">
                  <c:v>2.5</c:v>
                </c:pt>
                <c:pt idx="1627">
                  <c:v>2.5</c:v>
                </c:pt>
                <c:pt idx="1628">
                  <c:v>2.5</c:v>
                </c:pt>
                <c:pt idx="1629">
                  <c:v>2.5</c:v>
                </c:pt>
                <c:pt idx="1630">
                  <c:v>2.5</c:v>
                </c:pt>
                <c:pt idx="1631">
                  <c:v>2.5</c:v>
                </c:pt>
                <c:pt idx="1632">
                  <c:v>2.5</c:v>
                </c:pt>
                <c:pt idx="1633">
                  <c:v>2.5</c:v>
                </c:pt>
                <c:pt idx="1634">
                  <c:v>2.5</c:v>
                </c:pt>
                <c:pt idx="1635">
                  <c:v>2.5</c:v>
                </c:pt>
                <c:pt idx="1636">
                  <c:v>2.1</c:v>
                </c:pt>
                <c:pt idx="1637">
                  <c:v>1.5</c:v>
                </c:pt>
                <c:pt idx="1638">
                  <c:v>1.5</c:v>
                </c:pt>
                <c:pt idx="1639">
                  <c:v>1.5</c:v>
                </c:pt>
                <c:pt idx="1640">
                  <c:v>1.5</c:v>
                </c:pt>
                <c:pt idx="1641">
                  <c:v>1.5</c:v>
                </c:pt>
                <c:pt idx="1642">
                  <c:v>1.5</c:v>
                </c:pt>
                <c:pt idx="1643">
                  <c:v>1.5</c:v>
                </c:pt>
                <c:pt idx="1644">
                  <c:v>1.5</c:v>
                </c:pt>
                <c:pt idx="1645">
                  <c:v>1.5</c:v>
                </c:pt>
                <c:pt idx="1646">
                  <c:v>1.5</c:v>
                </c:pt>
                <c:pt idx="1647">
                  <c:v>1.5</c:v>
                </c:pt>
                <c:pt idx="1648">
                  <c:v>1.5</c:v>
                </c:pt>
                <c:pt idx="1649">
                  <c:v>1.5</c:v>
                </c:pt>
                <c:pt idx="1650">
                  <c:v>1.5</c:v>
                </c:pt>
                <c:pt idx="1651">
                  <c:v>1.5</c:v>
                </c:pt>
                <c:pt idx="1652">
                  <c:v>1.5</c:v>
                </c:pt>
                <c:pt idx="1653">
                  <c:v>1.5</c:v>
                </c:pt>
                <c:pt idx="1654">
                  <c:v>1.5</c:v>
                </c:pt>
                <c:pt idx="1655">
                  <c:v>1.5</c:v>
                </c:pt>
                <c:pt idx="1656">
                  <c:v>1.1</c:v>
                </c:pt>
                <c:pt idx="1657">
                  <c:v>0.9</c:v>
                </c:pt>
                <c:pt idx="1658">
                  <c:v>0.9</c:v>
                </c:pt>
                <c:pt idx="1659">
                  <c:v>0.9</c:v>
                </c:pt>
                <c:pt idx="1660">
                  <c:v>0.9</c:v>
                </c:pt>
                <c:pt idx="1661">
                  <c:v>0.9</c:v>
                </c:pt>
                <c:pt idx="1662">
                  <c:v>0.9</c:v>
                </c:pt>
                <c:pt idx="1663">
                  <c:v>0.9</c:v>
                </c:pt>
                <c:pt idx="1664">
                  <c:v>0.9</c:v>
                </c:pt>
                <c:pt idx="1665">
                  <c:v>0.9</c:v>
                </c:pt>
                <c:pt idx="1666">
                  <c:v>0.9</c:v>
                </c:pt>
                <c:pt idx="1667">
                  <c:v>0.9</c:v>
                </c:pt>
                <c:pt idx="1668">
                  <c:v>0.9</c:v>
                </c:pt>
                <c:pt idx="1669">
                  <c:v>0.9</c:v>
                </c:pt>
                <c:pt idx="1670">
                  <c:v>0.9</c:v>
                </c:pt>
                <c:pt idx="1671">
                  <c:v>0.9</c:v>
                </c:pt>
                <c:pt idx="1672">
                  <c:v>0.9</c:v>
                </c:pt>
                <c:pt idx="1673">
                  <c:v>0.9</c:v>
                </c:pt>
                <c:pt idx="1674">
                  <c:v>0.9</c:v>
                </c:pt>
                <c:pt idx="1675">
                  <c:v>0.9</c:v>
                </c:pt>
                <c:pt idx="1676">
                  <c:v>0.9</c:v>
                </c:pt>
                <c:pt idx="1677">
                  <c:v>0.9</c:v>
                </c:pt>
                <c:pt idx="1678">
                  <c:v>0.9</c:v>
                </c:pt>
                <c:pt idx="1679">
                  <c:v>0.9</c:v>
                </c:pt>
                <c:pt idx="1680">
                  <c:v>0.9</c:v>
                </c:pt>
                <c:pt idx="1681">
                  <c:v>0.9</c:v>
                </c:pt>
                <c:pt idx="1682">
                  <c:v>0.9</c:v>
                </c:pt>
                <c:pt idx="1683">
                  <c:v>0.9</c:v>
                </c:pt>
                <c:pt idx="1684">
                  <c:v>0.9</c:v>
                </c:pt>
                <c:pt idx="1685">
                  <c:v>0.9</c:v>
                </c:pt>
                <c:pt idx="1686">
                  <c:v>0.9</c:v>
                </c:pt>
                <c:pt idx="1687">
                  <c:v>0.9</c:v>
                </c:pt>
                <c:pt idx="1688">
                  <c:v>1</c:v>
                </c:pt>
                <c:pt idx="1689">
                  <c:v>1.4</c:v>
                </c:pt>
                <c:pt idx="1690">
                  <c:v>1.4</c:v>
                </c:pt>
                <c:pt idx="1691">
                  <c:v>1.4</c:v>
                </c:pt>
                <c:pt idx="1692">
                  <c:v>1.4</c:v>
                </c:pt>
                <c:pt idx="1693">
                  <c:v>1.4</c:v>
                </c:pt>
                <c:pt idx="1694">
                  <c:v>1.4</c:v>
                </c:pt>
                <c:pt idx="1695">
                  <c:v>1.4</c:v>
                </c:pt>
                <c:pt idx="1696">
                  <c:v>1.4</c:v>
                </c:pt>
                <c:pt idx="1697">
                  <c:v>1.4</c:v>
                </c:pt>
                <c:pt idx="1698">
                  <c:v>1.4</c:v>
                </c:pt>
                <c:pt idx="1699">
                  <c:v>1.4</c:v>
                </c:pt>
                <c:pt idx="1700">
                  <c:v>1.4</c:v>
                </c:pt>
                <c:pt idx="1701">
                  <c:v>1.4</c:v>
                </c:pt>
                <c:pt idx="1702">
                  <c:v>1.4</c:v>
                </c:pt>
                <c:pt idx="1703">
                  <c:v>1.4</c:v>
                </c:pt>
                <c:pt idx="1704">
                  <c:v>1.4</c:v>
                </c:pt>
                <c:pt idx="1705">
                  <c:v>1.4</c:v>
                </c:pt>
                <c:pt idx="1706">
                  <c:v>1.4</c:v>
                </c:pt>
                <c:pt idx="1707">
                  <c:v>1.4</c:v>
                </c:pt>
                <c:pt idx="1708">
                  <c:v>1.4</c:v>
                </c:pt>
                <c:pt idx="1709">
                  <c:v>1.4</c:v>
                </c:pt>
                <c:pt idx="1710">
                  <c:v>3.1</c:v>
                </c:pt>
                <c:pt idx="1711">
                  <c:v>3.6</c:v>
                </c:pt>
                <c:pt idx="1712">
                  <c:v>3.6</c:v>
                </c:pt>
                <c:pt idx="1713">
                  <c:v>3.6</c:v>
                </c:pt>
                <c:pt idx="1714">
                  <c:v>3.6</c:v>
                </c:pt>
                <c:pt idx="1715">
                  <c:v>3.6</c:v>
                </c:pt>
                <c:pt idx="1716">
                  <c:v>3.6</c:v>
                </c:pt>
                <c:pt idx="1717">
                  <c:v>3.6</c:v>
                </c:pt>
                <c:pt idx="1718">
                  <c:v>3.6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9402749"/>
        <c:axId val="80417386"/>
      </c:lineChart>
      <c:catAx>
        <c:axId val="5940274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80417386"/>
        <c:crosses val="autoZero"/>
        <c:auto val="1"/>
        <c:lblAlgn val="ctr"/>
        <c:lblOffset val="100"/>
        <c:noMultiLvlLbl val="0"/>
      </c:catAx>
      <c:valAx>
        <c:axId val="8041738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59402749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16</xdr:col>
      <xdr:colOff>184320</xdr:colOff>
      <xdr:row>0</xdr:row>
      <xdr:rowOff>0</xdr:rowOff>
    </xdr:from>
    <xdr:to>
      <xdr:col>24</xdr:col>
      <xdr:colOff>553320</xdr:colOff>
      <xdr:row>76</xdr:row>
      <xdr:rowOff>85320</xdr:rowOff>
    </xdr:to>
    <xdr:sp>
      <xdr:nvSpPr>
        <xdr:cNvPr id="1" name="CaixaDeTexto 5"/>
        <xdr:cNvSpPr/>
      </xdr:nvSpPr>
      <xdr:spPr>
        <a:xfrm>
          <a:off x="17039880" y="0"/>
          <a:ext cx="6871320" cy="12477960"/>
        </a:xfrm>
        <a:prstGeom prst="rect">
          <a:avLst/>
        </a:prstGeom>
        <a:solidFill>
          <a:srgbClr val="ffffff"/>
        </a:solidFill>
        <a:ln w="9360">
          <a:solidFill>
            <a:srgbClr val="bcbcbc"/>
          </a:solidFill>
          <a:round/>
        </a:ln>
      </xdr:spPr>
      <xdr:style>
        <a:lnRef idx="0"/>
        <a:fillRef idx="0"/>
        <a:effectRef idx="0"/>
        <a:fontRef idx="minor"/>
      </xdr:style>
      <xdr:txBody>
        <a:bodyPr vertOverflow="clip" lIns="90000" rIns="90000" tIns="45000" bIns="45000" anchor="t">
          <a:noAutofit/>
        </a:bodyPr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Equação C/N Modificada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Ref: Response Surface Methodology to Optimize Methane Production from Mesophilic Anaerobic Co-Digestion of Oily-Biological Sludge and Sugarcane Bagasse;  Aiban Abdulhakim Saeed Ghaleb et. al.; Sustainability 2020, 12, 2116; doi:10.3390/su12052116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R = [𝑄1(𝐶1*(100−𝑀1)+𝑄2(𝐶2*(100−𝑀2)] / [𝑄1(𝑁1*(100−𝑀1)+𝑄2(𝑁2*(100−𝑀2)]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R= C/N ratio;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Q1, Q2= mass of materials “as is” or wet weight;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C1, C2= carbon content of materials (%);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N1, N2= nitrogen content of materials (%);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M1, M2= moisture content of materials.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C×(100−M) = TC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N×(100−M) = TN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R​ = [TC1*​V1​+TC2*​V2​+…​] / [TN1​*V1​+TN2*​V2​+…]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TC1*​V1​+TC2*​V2​=R(TN1*​V1​+TN2*​V2​)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TC1*​V1​−R*​TN1*​V1​=R*​TN2*​V2​−TC2*​V2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V1​(TC1​−R*​TN1​)=V2​(R*​TN2​−TC2​)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V1/V2 = [R*TN2-TC2] / [TC1-R*TN1]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V1/V2 = VR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 = VR*V2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V2 = V1/VR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17</xdr:col>
      <xdr:colOff>460440</xdr:colOff>
      <xdr:row>0</xdr:row>
      <xdr:rowOff>0</xdr:rowOff>
    </xdr:from>
    <xdr:to>
      <xdr:col>26</xdr:col>
      <xdr:colOff>16560</xdr:colOff>
      <xdr:row>116</xdr:row>
      <xdr:rowOff>28800</xdr:rowOff>
    </xdr:to>
    <xdr:sp>
      <xdr:nvSpPr>
        <xdr:cNvPr id="2" name="CaixaDeTexto 5"/>
        <xdr:cNvSpPr/>
      </xdr:nvSpPr>
      <xdr:spPr>
        <a:xfrm>
          <a:off x="18587160" y="0"/>
          <a:ext cx="6871320" cy="18923760"/>
        </a:xfrm>
        <a:prstGeom prst="rect">
          <a:avLst/>
        </a:prstGeom>
        <a:solidFill>
          <a:srgbClr val="ffffff"/>
        </a:solidFill>
        <a:ln w="9360">
          <a:solidFill>
            <a:srgbClr val="bcbcbc"/>
          </a:solidFill>
          <a:round/>
        </a:ln>
      </xdr:spPr>
      <xdr:style>
        <a:lnRef idx="0"/>
        <a:fillRef idx="0"/>
        <a:effectRef idx="0"/>
        <a:fontRef idx="minor"/>
      </xdr:style>
      <xdr:txBody>
        <a:bodyPr vertOverflow="clip" lIns="90000" rIns="90000" tIns="45000" bIns="45000" anchor="t">
          <a:noAutofit/>
        </a:bodyPr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Equação C/N Modificada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Ref: Response Surface Methodology to Optimize Methane Production from Mesophilic Anaerobic Co-Digestion of Oily-Biological Sludge and Sugarcane Bagasse;  Aiban Abdulhakim Saeed Ghaleb et. al.; Sustainability 2020, 12, 2116; doi:10.3390/su12052116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R = [𝑄1(𝐶1*(100−𝑀1)+𝑄2(𝐶2*(100−𝑀2)] / [𝑄1(𝑁1*(100−𝑀1)+𝑄2(𝑁2*(100−𝑀2)]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R= C/N ratio;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Q1, Q2= mass of materials “as is” or wet weight;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C1, C2= carbon content of materials (%);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N1, N2= nitrogen content of materials (%);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M1, M2= moisture content of materials.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spcBef>
              <a:spcPts val="1191"/>
            </a:spcBef>
            <a:spcAft>
              <a:spcPts val="992"/>
            </a:spcAf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C×(100−M) = TC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N×(100−M) = TN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R​ = [TC1*​V1​+TC2*​V2​+TC3*V3+...] / [TN1​*V1​+TN2*​V2​+TN3*V3+...]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TC1*​V1​+TC2*​V2​+TC3*V3=R(TN1*​V1​+TN2*​V2​+TN3*V3)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TC1*V1+TC2*V2+TC3*V3=R*TN1*V1+R*TN2*V2+R*TN3*V3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TC1*V1+TC2*V2+TC3*V3 – R*TN1*V1-R*TN2*V2-R*TN3*V3 = 0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V1(TC1-R*TN1)+V2(TC2-R*TN2)+V3(TC3-R*TN3)=0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L=TC-R*TN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V1*L1+V2*L2+V3*L3=0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Vt = V1 + V2 + V3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Know 2 V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X=V1*L1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Y=V2*L2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X+Y=-V3*L3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V3=(X-Y)/L3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Know Vt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V1*L1+V2*L2+V3*L3=0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V3=Vt-V1-V2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V1*L1+V2*L2+(Vt-V1-V2)*L3=0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V1*L1+V2*L2=-(Vt-V1-V2)*L3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V1*L1+V2*L2=-Vt*L3+V1*L3+V2*L3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V1*L1=-Vt*L3+V1*L3+V2*L3-V2*L2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V1*L1=-Vt*L3+V1*L3+V2(L3-L2)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V1*L1+Vt*L3-V1*L3=V2(L3-L2)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V2=(V1*L1+Vt*L3-V1*L3)/(L3-L2)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V1=(-Vt*L3+V1*L3+V2(L3-L2))/L1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V2=([(-Vt*L3+V1*L3+V2(L3-L2))/L1]*L1+Vt*L3-[(-Vt*L3+V1*L3+V2(L3-L2))/L1]*L3)/(L3-L2)</a:t>
          </a: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spcBef>
              <a:spcPts val="1191"/>
            </a:spcBef>
            <a:spcAft>
              <a:spcPts val="992"/>
            </a:spcAft>
            <a:tabLst>
              <a:tab algn="l" pos="0"/>
            </a:tabLst>
          </a:pPr>
          <a:endParaRPr lang="en-US" sz="11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16920</xdr:colOff>
      <xdr:row>0</xdr:row>
      <xdr:rowOff>0</xdr:rowOff>
    </xdr:from>
    <xdr:to>
      <xdr:col>19</xdr:col>
      <xdr:colOff>312480</xdr:colOff>
      <xdr:row>20</xdr:row>
      <xdr:rowOff>29520</xdr:rowOff>
    </xdr:to>
    <xdr:graphicFrame>
      <xdr:nvGraphicFramePr>
        <xdr:cNvPr id="3" name="Gráfico 1"/>
        <xdr:cNvGraphicFramePr/>
      </xdr:nvGraphicFramePr>
      <xdr:xfrm>
        <a:off x="15562440" y="0"/>
        <a:ext cx="5172120" cy="3280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21600</xdr:colOff>
      <xdr:row>0</xdr:row>
      <xdr:rowOff>0</xdr:rowOff>
    </xdr:from>
    <xdr:to>
      <xdr:col>8</xdr:col>
      <xdr:colOff>411480</xdr:colOff>
      <xdr:row>19</xdr:row>
      <xdr:rowOff>135360</xdr:rowOff>
    </xdr:to>
    <xdr:graphicFrame>
      <xdr:nvGraphicFramePr>
        <xdr:cNvPr id="4" name="Gráfico 2"/>
        <xdr:cNvGraphicFramePr/>
      </xdr:nvGraphicFramePr>
      <xdr:xfrm>
        <a:off x="4300200" y="0"/>
        <a:ext cx="5153760" cy="3224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25920</xdr:colOff>
      <xdr:row>24</xdr:row>
      <xdr:rowOff>25200</xdr:rowOff>
    </xdr:from>
    <xdr:to>
      <xdr:col>8</xdr:col>
      <xdr:colOff>413640</xdr:colOff>
      <xdr:row>43</xdr:row>
      <xdr:rowOff>160560</xdr:rowOff>
    </xdr:to>
    <xdr:graphicFrame>
      <xdr:nvGraphicFramePr>
        <xdr:cNvPr id="5" name="Gráfico 3"/>
        <xdr:cNvGraphicFramePr/>
      </xdr:nvGraphicFramePr>
      <xdr:xfrm>
        <a:off x="4304520" y="3926520"/>
        <a:ext cx="5151600" cy="3224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36000</xdr:colOff>
      <xdr:row>24</xdr:row>
      <xdr:rowOff>23760</xdr:rowOff>
    </xdr:from>
    <xdr:to>
      <xdr:col>19</xdr:col>
      <xdr:colOff>279720</xdr:colOff>
      <xdr:row>43</xdr:row>
      <xdr:rowOff>159840</xdr:rowOff>
    </xdr:to>
    <xdr:graphicFrame>
      <xdr:nvGraphicFramePr>
        <xdr:cNvPr id="6" name="Gráfico 4"/>
        <xdr:cNvGraphicFramePr/>
      </xdr:nvGraphicFramePr>
      <xdr:xfrm>
        <a:off x="15581520" y="3925080"/>
        <a:ext cx="5120280" cy="3224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145440</xdr:colOff>
      <xdr:row>0</xdr:row>
      <xdr:rowOff>114840</xdr:rowOff>
    </xdr:from>
    <xdr:to>
      <xdr:col>14</xdr:col>
      <xdr:colOff>802080</xdr:colOff>
      <xdr:row>6</xdr:row>
      <xdr:rowOff>34560</xdr:rowOff>
    </xdr:to>
    <xdr:sp>
      <xdr:nvSpPr>
        <xdr:cNvPr id="7" name="CaixaDeTexto 2"/>
        <xdr:cNvSpPr/>
      </xdr:nvSpPr>
      <xdr:spPr>
        <a:xfrm>
          <a:off x="12656160" y="114840"/>
          <a:ext cx="4083840" cy="894960"/>
        </a:xfrm>
        <a:prstGeom prst="rect">
          <a:avLst/>
        </a:prstGeom>
        <a:solidFill>
          <a:schemeClr val="lt1"/>
        </a:solidFill>
        <a:ln w="9360">
          <a:solidFill>
            <a:schemeClr val="lt1">
              <a:shade val="50000"/>
            </a:schemeClr>
          </a:solidFill>
          <a:round/>
        </a:ln>
      </xdr:spPr>
      <xdr:style>
        <a:lnRef idx="0"/>
        <a:fillRef idx="0"/>
        <a:effectRef idx="0"/>
        <a:fontRef idx="minor"/>
      </xdr:style>
      <xdr:txBody>
        <a:bodyPr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- Adição de acido sulfurico até atingir pH 4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- Quantidade de acido gasto representa a alcalinidade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- Adição de acido até 3,3 para remover CO2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 - </a:t>
          </a:r>
          <a:r>
            <a:rPr lang="pt-BR" sz="1100" b="1" u="none" strike="noStrike">
              <a:solidFill>
                <a:schemeClr val="dk1"/>
              </a:solidFill>
              <a:effectLst/>
              <a:uFillTx/>
              <a:latin typeface="Calibri"/>
            </a:rPr>
            <a:t>Uso de ultra-som por 10 minutos</a:t>
          </a:r>
          <a:endParaRPr lang="en-US" sz="11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11</xdr:col>
      <xdr:colOff>171000</xdr:colOff>
      <xdr:row>8</xdr:row>
      <xdr:rowOff>86040</xdr:rowOff>
    </xdr:from>
    <xdr:to>
      <xdr:col>14</xdr:col>
      <xdr:colOff>827640</xdr:colOff>
      <xdr:row>12</xdr:row>
      <xdr:rowOff>73440</xdr:rowOff>
    </xdr:to>
    <xdr:sp>
      <xdr:nvSpPr>
        <xdr:cNvPr id="8" name="CaixaDeTexto 1"/>
        <xdr:cNvSpPr/>
      </xdr:nvSpPr>
      <xdr:spPr>
        <a:xfrm>
          <a:off x="12681720" y="1386360"/>
          <a:ext cx="4083840" cy="637920"/>
        </a:xfrm>
        <a:prstGeom prst="rect">
          <a:avLst/>
        </a:prstGeom>
        <a:solidFill>
          <a:schemeClr val="lt1"/>
        </a:solidFill>
        <a:ln w="9360">
          <a:solidFill>
            <a:schemeClr val="lt1">
              <a:shade val="50000"/>
            </a:schemeClr>
          </a:solidFill>
          <a:round/>
        </a:ln>
      </xdr:spPr>
      <xdr:style>
        <a:lnRef idx="0"/>
        <a:fillRef idx="0"/>
        <a:effectRef idx="0"/>
        <a:fontRef idx="minor"/>
      </xdr:style>
      <xdr:txBody>
        <a:bodyPr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- Adição de base até pH chegar a 4 novamente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- Adição de base até pH 7</a:t>
          </a:r>
          <a:endParaRPr lang="en-US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pt-BR" sz="1100" b="0" u="none" strike="noStrike">
              <a:solidFill>
                <a:schemeClr val="dk1"/>
              </a:solidFill>
              <a:effectLst/>
              <a:uFillTx/>
              <a:latin typeface="Calibri"/>
            </a:rPr>
            <a:t>- Quantidade de base gasta do 4 até o 7, representa AGV</a:t>
          </a:r>
          <a:endParaRPr lang="en-US" sz="11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23760</xdr:colOff>
      <xdr:row>0</xdr:row>
      <xdr:rowOff>0</xdr:rowOff>
    </xdr:from>
    <xdr:to>
      <xdr:col>20</xdr:col>
      <xdr:colOff>93960</xdr:colOff>
      <xdr:row>19</xdr:row>
      <xdr:rowOff>150840</xdr:rowOff>
    </xdr:to>
    <xdr:graphicFrame>
      <xdr:nvGraphicFramePr>
        <xdr:cNvPr id="9" name=""/>
        <xdr:cNvGraphicFramePr/>
      </xdr:nvGraphicFramePr>
      <xdr:xfrm>
        <a:off x="11096280" y="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14040</xdr:colOff>
      <xdr:row>19</xdr:row>
      <xdr:rowOff>131760</xdr:rowOff>
    </xdr:from>
    <xdr:to>
      <xdr:col>20</xdr:col>
      <xdr:colOff>84240</xdr:colOff>
      <xdr:row>39</xdr:row>
      <xdr:rowOff>120240</xdr:rowOff>
    </xdr:to>
    <xdr:graphicFrame>
      <xdr:nvGraphicFramePr>
        <xdr:cNvPr id="10" name=""/>
        <xdr:cNvGraphicFramePr/>
      </xdr:nvGraphicFramePr>
      <xdr:xfrm>
        <a:off x="11086560" y="32205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26280</xdr:colOff>
      <xdr:row>39</xdr:row>
      <xdr:rowOff>122760</xdr:rowOff>
    </xdr:from>
    <xdr:to>
      <xdr:col>20</xdr:col>
      <xdr:colOff>96480</xdr:colOff>
      <xdr:row>59</xdr:row>
      <xdr:rowOff>111240</xdr:rowOff>
    </xdr:to>
    <xdr:graphicFrame>
      <xdr:nvGraphicFramePr>
        <xdr:cNvPr id="11" name=""/>
        <xdr:cNvGraphicFramePr/>
      </xdr:nvGraphicFramePr>
      <xdr:xfrm>
        <a:off x="11098800" y="64627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24" activeCellId="0" sqref="K2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9" min="8" style="0" width="15.06"/>
    <col collapsed="false" customWidth="true" hidden="false" outlineLevel="0" max="10" min="10" style="0" width="19.93"/>
    <col collapsed="false" customWidth="true" hidden="false" outlineLevel="0" max="11" min="11" style="0" width="14.51"/>
    <col collapsed="false" customWidth="true" hidden="false" outlineLevel="0" max="12" min="12" style="0" width="13.68"/>
    <col collapsed="false" customWidth="true" hidden="false" outlineLevel="0" max="13" min="13" style="0" width="15.06"/>
    <col collapsed="false" customWidth="true" hidden="false" outlineLevel="0" max="14" min="14" style="0" width="14.19"/>
    <col collapsed="false" customWidth="true" hidden="false" outlineLevel="0" max="18" min="18" style="0" width="13.91"/>
    <col collapsed="false" customWidth="true" hidden="false" outlineLevel="0" max="19" min="19" style="0" width="12.24"/>
  </cols>
  <sheetData>
    <row r="1" customFormat="false" ht="12.8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2.8" hidden="false" customHeight="false" outlineLevel="0" collapsed="false">
      <c r="A2" s="2" t="s">
        <v>1</v>
      </c>
      <c r="B2" s="2"/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</row>
    <row r="3" customFormat="false" ht="12.8" hidden="false" customHeight="false" outlineLevel="0" collapsed="false">
      <c r="A3" s="3" t="s">
        <v>10</v>
      </c>
      <c r="B3" s="4" t="n">
        <v>1</v>
      </c>
      <c r="C3" s="5" t="n">
        <v>136</v>
      </c>
      <c r="D3" s="5" t="n">
        <v>235</v>
      </c>
      <c r="E3" s="5" t="n">
        <f aca="false">D3-C3</f>
        <v>99</v>
      </c>
      <c r="F3" s="5" t="n">
        <f aca="false">E3/$C$9</f>
        <v>0.0991775277747167</v>
      </c>
      <c r="G3" s="5" t="n">
        <v>242</v>
      </c>
      <c r="H3" s="5" t="n">
        <f aca="false">G3-C3</f>
        <v>106</v>
      </c>
      <c r="I3" s="5" t="n">
        <f aca="false">H3/F3</f>
        <v>1068.79050505051</v>
      </c>
      <c r="J3" s="6" t="n">
        <f aca="false">MEDIAN(I3:I4)</f>
        <v>1068.43760252525</v>
      </c>
    </row>
    <row r="4" customFormat="false" ht="12.8" hidden="false" customHeight="false" outlineLevel="0" collapsed="false">
      <c r="A4" s="3"/>
      <c r="B4" s="4" t="n">
        <v>2</v>
      </c>
      <c r="C4" s="7" t="n">
        <v>116</v>
      </c>
      <c r="D4" s="7" t="n">
        <v>216</v>
      </c>
      <c r="E4" s="7" t="n">
        <f aca="false">D4-C4</f>
        <v>100</v>
      </c>
      <c r="F4" s="7" t="n">
        <f aca="false">E4/$C$9</f>
        <v>0.100179320984562</v>
      </c>
      <c r="G4" s="7" t="n">
        <v>223</v>
      </c>
      <c r="H4" s="7" t="n">
        <f aca="false">G4-C4</f>
        <v>107</v>
      </c>
      <c r="I4" s="7" t="n">
        <f aca="false">H4/F4</f>
        <v>1068.0847</v>
      </c>
      <c r="J4" s="6"/>
    </row>
    <row r="5" customFormat="false" ht="12.8" hidden="false" customHeight="false" outlineLevel="0" collapsed="false">
      <c r="A5" s="8" t="s">
        <v>11</v>
      </c>
      <c r="B5" s="9" t="n">
        <v>1</v>
      </c>
      <c r="C5" s="10" t="n">
        <v>114.21</v>
      </c>
      <c r="D5" s="10" t="n">
        <v>213.96</v>
      </c>
      <c r="E5" s="10" t="n">
        <f aca="false">D5-C5</f>
        <v>99.75</v>
      </c>
      <c r="F5" s="10" t="n">
        <f aca="false">E5/$C$9</f>
        <v>0.099928872682101</v>
      </c>
      <c r="G5" s="10" t="n">
        <v>203.47</v>
      </c>
      <c r="H5" s="10" t="n">
        <f aca="false">G5-C5</f>
        <v>89.26</v>
      </c>
      <c r="I5" s="10" t="n">
        <f aca="false">H5/F5</f>
        <v>893.23533433584</v>
      </c>
      <c r="J5" s="11" t="n">
        <f aca="false">MEDIAN(I5:I6)</f>
        <v>893.074035663281</v>
      </c>
    </row>
    <row r="6" customFormat="false" ht="12.8" hidden="false" customHeight="false" outlineLevel="0" collapsed="false">
      <c r="A6" s="8"/>
      <c r="B6" s="12" t="n">
        <v>2</v>
      </c>
      <c r="C6" s="13" t="n">
        <v>115.74</v>
      </c>
      <c r="D6" s="13" t="n">
        <v>214.9</v>
      </c>
      <c r="E6" s="13" t="n">
        <f aca="false">D6-C6</f>
        <v>99.16</v>
      </c>
      <c r="F6" s="13" t="n">
        <f aca="false">E6/$C$9</f>
        <v>0.099337814688292</v>
      </c>
      <c r="G6" s="13" t="n">
        <v>204.44</v>
      </c>
      <c r="H6" s="13" t="n">
        <f aca="false">G6-C6</f>
        <v>88.7</v>
      </c>
      <c r="I6" s="13" t="n">
        <f aca="false">H6/F6</f>
        <v>892.912736990722</v>
      </c>
      <c r="J6" s="11"/>
    </row>
    <row r="7" customFormat="false" ht="12.8" hidden="false" customHeight="false" outlineLevel="0" collapsed="false">
      <c r="A7" s="14" t="s">
        <v>12</v>
      </c>
      <c r="B7" s="15" t="n">
        <v>1</v>
      </c>
      <c r="C7" s="16" t="n">
        <v>136</v>
      </c>
      <c r="D7" s="16" t="n">
        <v>235</v>
      </c>
      <c r="E7" s="16" t="n">
        <f aca="false">D7-C7</f>
        <v>99</v>
      </c>
      <c r="F7" s="16" t="n">
        <f aca="false">E7/$C$9</f>
        <v>0.0991775277747167</v>
      </c>
      <c r="G7" s="16" t="n">
        <v>242</v>
      </c>
      <c r="H7" s="16" t="n">
        <f aca="false">G7-C7</f>
        <v>106</v>
      </c>
      <c r="I7" s="16" t="n">
        <f aca="false">H7/F7</f>
        <v>1068.79050505051</v>
      </c>
      <c r="J7" s="17" t="n">
        <f aca="false">MEDIAN(I7:I8)</f>
        <v>1068.43760252525</v>
      </c>
    </row>
    <row r="8" customFormat="false" ht="12.8" hidden="false" customHeight="false" outlineLevel="0" collapsed="false">
      <c r="A8" s="14"/>
      <c r="B8" s="18" t="n">
        <v>2</v>
      </c>
      <c r="C8" s="19" t="n">
        <v>116</v>
      </c>
      <c r="D8" s="19" t="n">
        <v>216</v>
      </c>
      <c r="E8" s="19" t="n">
        <f aca="false">D8-C8</f>
        <v>100</v>
      </c>
      <c r="F8" s="19" t="n">
        <f aca="false">E8/$C$9</f>
        <v>0.100179320984562</v>
      </c>
      <c r="G8" s="19" t="n">
        <v>223</v>
      </c>
      <c r="H8" s="19" t="n">
        <f aca="false">G8-C8</f>
        <v>107</v>
      </c>
      <c r="I8" s="19" t="n">
        <f aca="false">H8/F8</f>
        <v>1068.0847</v>
      </c>
      <c r="J8" s="17"/>
    </row>
    <row r="9" customFormat="false" ht="12.8" hidden="false" customHeight="false" outlineLevel="0" collapsed="false">
      <c r="A9" s="20" t="s">
        <v>13</v>
      </c>
      <c r="B9" s="20"/>
      <c r="C9" s="21" t="n">
        <v>998.21</v>
      </c>
      <c r="D9" s="22"/>
      <c r="E9" s="22"/>
      <c r="F9" s="22"/>
      <c r="G9" s="22"/>
      <c r="H9" s="22"/>
      <c r="I9" s="22"/>
      <c r="J9" s="22"/>
    </row>
    <row r="10" customFormat="false" ht="12.8" hidden="false" customHeight="false" outlineLevel="0" collapsed="false">
      <c r="D10" s="22"/>
      <c r="E10" s="22"/>
      <c r="F10" s="22"/>
      <c r="G10" s="22"/>
      <c r="H10" s="22"/>
      <c r="I10" s="22"/>
      <c r="J10" s="22"/>
    </row>
    <row r="12" customFormat="false" ht="12.8" hidden="false" customHeight="false" outlineLevel="0" collapsed="false">
      <c r="A12" s="23" t="s">
        <v>14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customFormat="false" ht="12.8" hidden="false" customHeight="false" outlineLevel="0" collapsed="false">
      <c r="A13" s="2" t="s">
        <v>1</v>
      </c>
      <c r="B13" s="2"/>
      <c r="C13" s="2" t="s">
        <v>2</v>
      </c>
      <c r="D13" s="2" t="s">
        <v>3</v>
      </c>
      <c r="E13" s="2" t="s">
        <v>15</v>
      </c>
      <c r="F13" s="2" t="s">
        <v>16</v>
      </c>
      <c r="G13" s="2" t="s">
        <v>6</v>
      </c>
      <c r="H13" s="2" t="s">
        <v>17</v>
      </c>
      <c r="I13" s="2" t="s">
        <v>18</v>
      </c>
      <c r="J13" s="2" t="s">
        <v>19</v>
      </c>
      <c r="K13" s="2" t="s">
        <v>20</v>
      </c>
      <c r="L13" s="2" t="s">
        <v>21</v>
      </c>
      <c r="M13" s="2" t="s">
        <v>22</v>
      </c>
      <c r="N13" s="2" t="s">
        <v>23</v>
      </c>
      <c r="O13" s="2" t="s">
        <v>24</v>
      </c>
      <c r="P13" s="2" t="s">
        <v>25</v>
      </c>
      <c r="Q13" s="2" t="s">
        <v>26</v>
      </c>
      <c r="R13" s="2" t="s">
        <v>27</v>
      </c>
      <c r="S13" s="2" t="s">
        <v>28</v>
      </c>
      <c r="T13" s="2" t="s">
        <v>29</v>
      </c>
    </row>
    <row r="14" customFormat="false" ht="12.8" hidden="false" customHeight="false" outlineLevel="0" collapsed="false">
      <c r="A14" s="24" t="s">
        <v>10</v>
      </c>
      <c r="B14" s="25" t="n">
        <v>1</v>
      </c>
      <c r="C14" s="5" t="n">
        <v>78.731</v>
      </c>
      <c r="D14" s="26" t="n">
        <f aca="false">105.9875</f>
        <v>105.9875</v>
      </c>
      <c r="E14" s="5" t="n">
        <f aca="false">D14-C14</f>
        <v>27.2565</v>
      </c>
      <c r="F14" s="5" t="n">
        <f aca="false">E14/$J$3</f>
        <v>0.0255106146915639</v>
      </c>
      <c r="G14" s="26" t="n">
        <v>91.0021</v>
      </c>
      <c r="H14" s="5" t="n">
        <f aca="false">((G14-C14))/(F14)</f>
        <v>481.019377555726</v>
      </c>
      <c r="I14" s="5" t="n">
        <f aca="false">MEDIAN(H14:H16)</f>
        <v>536.39975270356</v>
      </c>
      <c r="J14" s="5" t="n">
        <f aca="false">((G14-C14)*100)/(D14-C14)</f>
        <v>45.0208207216627</v>
      </c>
      <c r="K14" s="5" t="n">
        <f aca="false">MEDIAN(J14:J16)</f>
        <v>50.2041252980781</v>
      </c>
      <c r="L14" s="26" t="n">
        <v>79.2024</v>
      </c>
      <c r="M14" s="5" t="n">
        <f aca="false">(G14-L14)/F14</f>
        <v>462.540794985315</v>
      </c>
      <c r="N14" s="5" t="n">
        <f aca="false">MEDIAN(M14:M16)</f>
        <v>520.806779510477</v>
      </c>
      <c r="O14" s="5" t="n">
        <f aca="false">((G14-L14)*100)/(G14-C14)</f>
        <v>96.1584536023665</v>
      </c>
      <c r="P14" s="5" t="n">
        <f aca="false">MEDIAN(O14:O16)</f>
        <v>96.2398284236423</v>
      </c>
      <c r="Q14" s="5" t="n">
        <f aca="false">(L14-C14)/F14</f>
        <v>18.478582570411</v>
      </c>
      <c r="R14" s="5" t="n">
        <f aca="false">MEDIAN(Q14:Q16)</f>
        <v>18.478582570411</v>
      </c>
      <c r="S14" s="5" t="n">
        <f aca="false">((L14-C14)*100)/(G14-C14)</f>
        <v>3.84154639763349</v>
      </c>
      <c r="T14" s="5" t="n">
        <f aca="false">MEDIAN(S14:S16)</f>
        <v>3.76017157635774</v>
      </c>
    </row>
    <row r="15" customFormat="false" ht="12.8" hidden="false" customHeight="false" outlineLevel="0" collapsed="false">
      <c r="A15" s="24"/>
      <c r="B15" s="4" t="n">
        <v>2</v>
      </c>
      <c r="C15" s="27" t="n">
        <v>84.3206</v>
      </c>
      <c r="D15" s="28" t="n">
        <f aca="false">113.2979</f>
        <v>113.2979</v>
      </c>
      <c r="E15" s="27" t="n">
        <f aca="false">D15-C15</f>
        <v>28.9773</v>
      </c>
      <c r="F15" s="27" t="n">
        <f aca="false">E15/$J$3</f>
        <v>0.027121190728885</v>
      </c>
      <c r="G15" s="28" t="n">
        <v>98.8684</v>
      </c>
      <c r="H15" s="27" t="n">
        <f aca="false">((G15-C15))/(F15)</f>
        <v>536.39975270356</v>
      </c>
      <c r="I15" s="5"/>
      <c r="J15" s="27" t="n">
        <f aca="false">((G15-C15)*100)/(D15-C15)</f>
        <v>50.2041252980781</v>
      </c>
      <c r="K15" s="5"/>
      <c r="L15" s="28" t="n">
        <v>84.7435</v>
      </c>
      <c r="M15" s="27" t="n">
        <f aca="false">(G15-L15)/F15</f>
        <v>520.806779510477</v>
      </c>
      <c r="N15" s="5"/>
      <c r="O15" s="27" t="n">
        <f aca="false">((G15-L15)*100)/(G15-C15)</f>
        <v>97.0930312487112</v>
      </c>
      <c r="P15" s="5"/>
      <c r="Q15" s="27" t="n">
        <f aca="false">(L15-C15)/F15</f>
        <v>15.5929731930831</v>
      </c>
      <c r="R15" s="5"/>
      <c r="S15" s="27" t="n">
        <f aca="false">((L15-C15)*100)/(G15-C15)</f>
        <v>2.90696875128885</v>
      </c>
      <c r="T15" s="5"/>
    </row>
    <row r="16" customFormat="false" ht="12.8" hidden="false" customHeight="false" outlineLevel="0" collapsed="false">
      <c r="A16" s="24"/>
      <c r="B16" s="4" t="n">
        <v>3</v>
      </c>
      <c r="C16" s="27" t="n">
        <v>77.5887</v>
      </c>
      <c r="D16" s="28" t="n">
        <f aca="false">108.8399</f>
        <v>108.8399</v>
      </c>
      <c r="E16" s="27" t="n">
        <f aca="false">D16-C16</f>
        <v>31.2512</v>
      </c>
      <c r="F16" s="27" t="n">
        <f aca="false">E16/$J$3</f>
        <v>0.0292494385504009</v>
      </c>
      <c r="G16" s="28" t="n">
        <v>93.4417</v>
      </c>
      <c r="H16" s="27" t="n">
        <f aca="false">((G16-C16))/(F16)</f>
        <v>541.993309467567</v>
      </c>
      <c r="I16" s="5"/>
      <c r="J16" s="27" t="n">
        <f aca="false">((G16-C16)*100)/(D16-C16)</f>
        <v>50.727652058161</v>
      </c>
      <c r="K16" s="5"/>
      <c r="L16" s="28" t="n">
        <v>78.1848</v>
      </c>
      <c r="M16" s="27" t="n">
        <f aca="false">(G16-L16)/F16</f>
        <v>521.613431099207</v>
      </c>
      <c r="N16" s="5"/>
      <c r="O16" s="27" t="n">
        <f aca="false">((G16-L16)*100)/(G16-C16)</f>
        <v>96.2398284236423</v>
      </c>
      <c r="P16" s="5"/>
      <c r="Q16" s="27" t="n">
        <f aca="false">(L16-C16)/F16</f>
        <v>20.3798783683601</v>
      </c>
      <c r="R16" s="5"/>
      <c r="S16" s="27" t="n">
        <f aca="false">((L16-C16)*100)/(G16-C16)</f>
        <v>3.76017157635774</v>
      </c>
      <c r="T16" s="5"/>
    </row>
    <row r="17" customFormat="false" ht="12.8" hidden="false" customHeight="false" outlineLevel="0" collapsed="false">
      <c r="A17" s="8" t="s">
        <v>11</v>
      </c>
      <c r="B17" s="9" t="n">
        <v>1</v>
      </c>
      <c r="C17" s="10" t="n">
        <v>84.2193</v>
      </c>
      <c r="D17" s="29" t="n">
        <f aca="false">88.6434</f>
        <v>88.6434</v>
      </c>
      <c r="E17" s="10" t="n">
        <f aca="false">D17-C17</f>
        <v>4.4241</v>
      </c>
      <c r="F17" s="10" t="n">
        <f aca="false">E17/$J$5</f>
        <v>0.00495378862594997</v>
      </c>
      <c r="G17" s="29" t="n">
        <v>88.4966</v>
      </c>
      <c r="H17" s="10" t="n">
        <f aca="false">((G17-C17))/(F17)</f>
        <v>863.440151159005</v>
      </c>
      <c r="I17" s="11" t="n">
        <f aca="false">MEDIAN(H17:H19)</f>
        <v>867.723994290837</v>
      </c>
      <c r="J17" s="10" t="n">
        <f aca="false">((G17-C17)*100)/(D17-C17)</f>
        <v>96.6818109898059</v>
      </c>
      <c r="K17" s="11" t="n">
        <f aca="false">MEDIAN(J17:J19)</f>
        <v>97.1614848982126</v>
      </c>
      <c r="L17" s="29" t="n">
        <v>84.2144</v>
      </c>
      <c r="M17" s="10" t="n">
        <f aca="false">(G17-L17)/F17</f>
        <v>864.42929308047</v>
      </c>
      <c r="N17" s="11" t="n">
        <f aca="false">MEDIAN(M17:M19)</f>
        <v>868.654816122481</v>
      </c>
      <c r="O17" s="10" t="n">
        <f aca="false">((G17-L17)*100)/(G17-C17)</f>
        <v>100.114558249363</v>
      </c>
      <c r="P17" s="11" t="n">
        <f aca="false">MEDIAN(O17:O19)</f>
        <v>100.114558249363</v>
      </c>
      <c r="Q17" s="10" t="n">
        <f aca="false">(L17-C17)/F17</f>
        <v>-0.989141921465551</v>
      </c>
      <c r="R17" s="11" t="n">
        <f aca="false">MEDIAN(Q17:Q19)</f>
        <v>-0.989141921465551</v>
      </c>
      <c r="S17" s="10" t="n">
        <f aca="false">((L17-C17)*100)/(G17-C17)</f>
        <v>-0.114558249363064</v>
      </c>
      <c r="T17" s="11" t="n">
        <f aca="false">MEDIAN(S17:S19)</f>
        <v>-0.114558249363064</v>
      </c>
    </row>
    <row r="18" customFormat="false" ht="12.8" hidden="false" customHeight="false" outlineLevel="0" collapsed="false">
      <c r="A18" s="8"/>
      <c r="B18" s="30" t="n">
        <v>2</v>
      </c>
      <c r="C18" s="31" t="n">
        <v>73.478</v>
      </c>
      <c r="D18" s="32" t="n">
        <f aca="false">77.9874</f>
        <v>77.9874</v>
      </c>
      <c r="E18" s="31" t="n">
        <f aca="false">D18-C18</f>
        <v>4.5094</v>
      </c>
      <c r="F18" s="31" t="n">
        <f aca="false">E18/$J$5</f>
        <v>0.00504930142398653</v>
      </c>
      <c r="G18" s="32" t="n">
        <v>77.8594</v>
      </c>
      <c r="H18" s="31" t="n">
        <f aca="false">((G18-C18))/(F18)</f>
        <v>867.723994290837</v>
      </c>
      <c r="I18" s="11"/>
      <c r="J18" s="31" t="n">
        <f aca="false">((G18-C18)*100)/(D18-C18)</f>
        <v>97.1614848982126</v>
      </c>
      <c r="K18" s="11"/>
      <c r="L18" s="32" t="n">
        <v>73.4733</v>
      </c>
      <c r="M18" s="31" t="n">
        <f aca="false">(G18-L18)/F18</f>
        <v>868.654816122481</v>
      </c>
      <c r="N18" s="11"/>
      <c r="O18" s="31" t="n">
        <f aca="false">((G18-L18)*100)/(G18-C18)</f>
        <v>100.107271648332</v>
      </c>
      <c r="P18" s="11"/>
      <c r="Q18" s="31" t="n">
        <f aca="false">(L18-C18)/F18</f>
        <v>-0.930821831644378</v>
      </c>
      <c r="R18" s="11"/>
      <c r="S18" s="31" t="n">
        <f aca="false">((L18-C18)*100)/(G18-C18)</f>
        <v>-0.107271648331577</v>
      </c>
      <c r="T18" s="11"/>
    </row>
    <row r="19" customFormat="false" ht="12.8" hidden="false" customHeight="false" outlineLevel="0" collapsed="false">
      <c r="A19" s="8"/>
      <c r="B19" s="12" t="n">
        <v>3</v>
      </c>
      <c r="C19" s="13" t="n">
        <v>86.2012</v>
      </c>
      <c r="D19" s="33" t="n">
        <f aca="false">90.6107</f>
        <v>90.6107</v>
      </c>
      <c r="E19" s="13" t="n">
        <f aca="false">D19-C19</f>
        <v>4.40949999999999</v>
      </c>
      <c r="F19" s="13" t="n">
        <f aca="false">E19/$J$5</f>
        <v>0.00493744059721217</v>
      </c>
      <c r="G19" s="33" t="n">
        <v>90.5034</v>
      </c>
      <c r="H19" s="13" t="n">
        <f aca="false">((G19-C19))/(F19)</f>
        <v>871.342128638297</v>
      </c>
      <c r="I19" s="11"/>
      <c r="J19" s="13" t="n">
        <f aca="false">((G19-C19)*100)/(D19-C19)</f>
        <v>97.5666175303324</v>
      </c>
      <c r="K19" s="11"/>
      <c r="L19" s="33" t="n">
        <v>86.1958</v>
      </c>
      <c r="M19" s="13" t="n">
        <f aca="false">(G19-L19)/F19</f>
        <v>872.435812682424</v>
      </c>
      <c r="N19" s="11"/>
      <c r="O19" s="13" t="n">
        <f aca="false">((G19-L19)*100)/(G19-C19)</f>
        <v>100.125517177258</v>
      </c>
      <c r="P19" s="11"/>
      <c r="Q19" s="13" t="n">
        <f aca="false">(L19-C19)/F19</f>
        <v>-1.09368404412673</v>
      </c>
      <c r="R19" s="11"/>
      <c r="S19" s="13" t="n">
        <f aca="false">((L19-C19)*100)/(G19-C19)</f>
        <v>-0.12551717725802</v>
      </c>
      <c r="T19" s="11"/>
    </row>
    <row r="20" customFormat="false" ht="12.8" hidden="false" customHeight="false" outlineLevel="0" collapsed="false">
      <c r="A20" s="14" t="s">
        <v>12</v>
      </c>
      <c r="B20" s="15" t="n">
        <v>1</v>
      </c>
      <c r="C20" s="16" t="n">
        <v>78.731</v>
      </c>
      <c r="D20" s="34" t="n">
        <f aca="false">105.9875</f>
        <v>105.9875</v>
      </c>
      <c r="E20" s="16" t="n">
        <f aca="false">D20-C20</f>
        <v>27.2565</v>
      </c>
      <c r="F20" s="16" t="n">
        <f aca="false">E20/$J$7</f>
        <v>0.0255106146915639</v>
      </c>
      <c r="G20" s="34" t="n">
        <v>91.0021</v>
      </c>
      <c r="H20" s="16" t="n">
        <f aca="false">((G20-C20))/(F20)</f>
        <v>481.019377555726</v>
      </c>
      <c r="I20" s="17" t="n">
        <f aca="false">MEDIAN(H20:H22)</f>
        <v>536.39975270356</v>
      </c>
      <c r="J20" s="35" t="n">
        <f aca="false">((G20-C20)*100)/(D20-C20)</f>
        <v>45.0208207216627</v>
      </c>
      <c r="K20" s="19" t="n">
        <f aca="false">MEDIAN(J20:J22)</f>
        <v>50.2041252980781</v>
      </c>
      <c r="L20" s="34" t="n">
        <v>79.2024</v>
      </c>
      <c r="M20" s="16" t="n">
        <f aca="false">(G20-L20)/F20</f>
        <v>462.540794985315</v>
      </c>
      <c r="N20" s="17" t="n">
        <f aca="false">MEDIAN(M20:M22)</f>
        <v>520.806779510477</v>
      </c>
      <c r="O20" s="35" t="n">
        <f aca="false">((G20-L20)*100)/(G20-C20)</f>
        <v>96.1584536023665</v>
      </c>
      <c r="P20" s="19" t="n">
        <f aca="false">MEDIAN(O20:O22)</f>
        <v>96.2398284236423</v>
      </c>
      <c r="Q20" s="16" t="n">
        <f aca="false">(L20-C20)/F20</f>
        <v>18.478582570411</v>
      </c>
      <c r="R20" s="17" t="n">
        <f aca="false">MEDIAN(Q20:Q22)</f>
        <v>18.478582570411</v>
      </c>
      <c r="S20" s="35" t="n">
        <f aca="false">((L20-C20)*100)/(G20-C20)</f>
        <v>3.84154639763349</v>
      </c>
      <c r="T20" s="19" t="n">
        <f aca="false">MEDIAN(S20:S22)</f>
        <v>3.76017157635774</v>
      </c>
    </row>
    <row r="21" customFormat="false" ht="12.8" hidden="false" customHeight="false" outlineLevel="0" collapsed="false">
      <c r="A21" s="14"/>
      <c r="B21" s="36" t="n">
        <v>2</v>
      </c>
      <c r="C21" s="35" t="n">
        <v>84.3206</v>
      </c>
      <c r="D21" s="37" t="n">
        <f aca="false">113.2979</f>
        <v>113.2979</v>
      </c>
      <c r="E21" s="35" t="n">
        <f aca="false">D21-C21</f>
        <v>28.9773</v>
      </c>
      <c r="F21" s="35" t="n">
        <f aca="false">E21/$J$7</f>
        <v>0.027121190728885</v>
      </c>
      <c r="G21" s="37" t="n">
        <v>98.8684</v>
      </c>
      <c r="H21" s="35" t="n">
        <f aca="false">((G21-C21))/(F21)</f>
        <v>536.39975270356</v>
      </c>
      <c r="I21" s="17"/>
      <c r="J21" s="35" t="n">
        <f aca="false">((G21-C21)*100)/(D21-C21)</f>
        <v>50.2041252980781</v>
      </c>
      <c r="K21" s="19"/>
      <c r="L21" s="37" t="n">
        <v>84.7435</v>
      </c>
      <c r="M21" s="35" t="n">
        <f aca="false">(G21-L21)/F21</f>
        <v>520.806779510477</v>
      </c>
      <c r="N21" s="17"/>
      <c r="O21" s="35" t="n">
        <f aca="false">((G21-L21)*100)/(G21-C21)</f>
        <v>97.0930312487112</v>
      </c>
      <c r="P21" s="19"/>
      <c r="Q21" s="35" t="n">
        <f aca="false">(L21-C21)/F21</f>
        <v>15.5929731930831</v>
      </c>
      <c r="R21" s="17"/>
      <c r="S21" s="35" t="n">
        <f aca="false">((L21-C21)*100)/(G21-C21)</f>
        <v>2.90696875128885</v>
      </c>
      <c r="T21" s="19"/>
    </row>
    <row r="22" customFormat="false" ht="12.8" hidden="false" customHeight="false" outlineLevel="0" collapsed="false">
      <c r="A22" s="14"/>
      <c r="B22" s="18" t="n">
        <v>3</v>
      </c>
      <c r="C22" s="19" t="n">
        <v>77.5887</v>
      </c>
      <c r="D22" s="38" t="n">
        <f aca="false">108.8399</f>
        <v>108.8399</v>
      </c>
      <c r="E22" s="19" t="n">
        <f aca="false">D22-C22</f>
        <v>31.2512</v>
      </c>
      <c r="F22" s="19" t="n">
        <f aca="false">E22/$J$7</f>
        <v>0.0292494385504009</v>
      </c>
      <c r="G22" s="38" t="n">
        <v>93.4417</v>
      </c>
      <c r="H22" s="19" t="n">
        <f aca="false">((G22-C22))/(F22)</f>
        <v>541.993309467567</v>
      </c>
      <c r="I22" s="17"/>
      <c r="J22" s="19" t="n">
        <f aca="false">((G22-C22)*100)/(D22-C22)</f>
        <v>50.727652058161</v>
      </c>
      <c r="K22" s="19"/>
      <c r="L22" s="38" t="n">
        <v>78.1848</v>
      </c>
      <c r="M22" s="19" t="n">
        <f aca="false">(G22-L22)/F22</f>
        <v>521.613431099207</v>
      </c>
      <c r="N22" s="17"/>
      <c r="O22" s="19" t="n">
        <f aca="false">((G22-L22)*100)/(G22-C22)</f>
        <v>96.2398284236423</v>
      </c>
      <c r="P22" s="19"/>
      <c r="Q22" s="19" t="n">
        <f aca="false">(L22-C22)/F22</f>
        <v>20.3798783683601</v>
      </c>
      <c r="R22" s="17"/>
      <c r="S22" s="19" t="n">
        <f aca="false">((L22-C22)*100)/(G22-C22)</f>
        <v>3.76017157635774</v>
      </c>
      <c r="T22" s="19"/>
    </row>
    <row r="23" customFormat="false" ht="12.8" hidden="false" customHeight="false" outlineLevel="0" collapsed="false">
      <c r="C23" s="0" t="n">
        <v>71.7136</v>
      </c>
      <c r="D23" s="0" t="n">
        <v>94.3466</v>
      </c>
      <c r="E23" s="39"/>
      <c r="G23" s="0" t="n">
        <v>71.7446</v>
      </c>
      <c r="K23" s="39"/>
      <c r="L23" s="0" t="n">
        <v>71.7204</v>
      </c>
    </row>
    <row r="24" customFormat="false" ht="12.8" hidden="false" customHeight="false" outlineLevel="0" collapsed="false">
      <c r="C24" s="0" t="n">
        <v>78.4856</v>
      </c>
      <c r="D24" s="0" t="n">
        <v>103.4794</v>
      </c>
      <c r="E24" s="39"/>
      <c r="G24" s="0" t="n">
        <v>81.8396</v>
      </c>
      <c r="K24" s="39"/>
      <c r="L24" s="0" t="n">
        <v>78.4935</v>
      </c>
    </row>
    <row r="25" customFormat="false" ht="12.8" hidden="false" customHeight="false" outlineLevel="0" collapsed="false">
      <c r="C25" s="0" t="n">
        <v>73.2435</v>
      </c>
      <c r="D25" s="0" t="n">
        <v>96.3926</v>
      </c>
      <c r="G25" s="0" t="n">
        <v>76.1155</v>
      </c>
      <c r="L25" s="0" t="n">
        <v>73.2506</v>
      </c>
    </row>
    <row r="26" customFormat="false" ht="12.8" hidden="false" customHeight="false" outlineLevel="0" collapsed="false">
      <c r="A26" s="2" t="s">
        <v>30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customFormat="false" ht="12.8" hidden="false" customHeight="false" outlineLevel="0" collapsed="false">
      <c r="A27" s="2" t="s">
        <v>1</v>
      </c>
      <c r="B27" s="2"/>
      <c r="C27" s="2" t="s">
        <v>31</v>
      </c>
      <c r="D27" s="2" t="s">
        <v>32</v>
      </c>
      <c r="E27" s="2" t="s">
        <v>33</v>
      </c>
      <c r="F27" s="2" t="s">
        <v>34</v>
      </c>
      <c r="G27" s="2" t="s">
        <v>35</v>
      </c>
      <c r="H27" s="2" t="s">
        <v>32</v>
      </c>
      <c r="I27" s="2" t="s">
        <v>36</v>
      </c>
      <c r="J27" s="2" t="s">
        <v>33</v>
      </c>
      <c r="K27" s="2" t="s">
        <v>37</v>
      </c>
      <c r="L27" s="2" t="s">
        <v>34</v>
      </c>
      <c r="M27" s="2" t="s">
        <v>38</v>
      </c>
    </row>
    <row r="28" customFormat="false" ht="12.8" hidden="false" customHeight="false" outlineLevel="0" collapsed="false">
      <c r="A28" s="3" t="s">
        <v>10</v>
      </c>
      <c r="B28" s="4" t="n">
        <v>1</v>
      </c>
      <c r="C28" s="40" t="n">
        <v>5.039</v>
      </c>
      <c r="D28" s="40" t="n">
        <v>5.044</v>
      </c>
      <c r="E28" s="40" t="n">
        <v>0.00562</v>
      </c>
      <c r="F28" s="40" t="n">
        <v>0.6891</v>
      </c>
      <c r="G28" s="41" t="n">
        <v>400</v>
      </c>
      <c r="H28" s="25" t="n">
        <f aca="false">D28*G28</f>
        <v>2017.6</v>
      </c>
      <c r="I28" s="42" t="n">
        <f aca="false">MEDIAN(H28:H29)</f>
        <v>1778.6</v>
      </c>
      <c r="J28" s="25" t="n">
        <f aca="false">E28*G28</f>
        <v>2.248</v>
      </c>
      <c r="K28" s="42" t="n">
        <f aca="false">MEDIAN(J28:J29)</f>
        <v>16.68</v>
      </c>
      <c r="L28" s="25" t="n">
        <f aca="false">F28*G28</f>
        <v>275.64</v>
      </c>
      <c r="M28" s="42" t="n">
        <f aca="false">MEDIAN(L28:L29)</f>
        <v>281.76</v>
      </c>
    </row>
    <row r="29" customFormat="false" ht="12.8" hidden="false" customHeight="false" outlineLevel="0" collapsed="false">
      <c r="A29" s="3"/>
      <c r="B29" s="4" t="n">
        <v>2</v>
      </c>
      <c r="C29" s="43" t="n">
        <v>3.927</v>
      </c>
      <c r="D29" s="43" t="n">
        <v>3.849</v>
      </c>
      <c r="E29" s="43" t="n">
        <v>0.07778</v>
      </c>
      <c r="F29" s="43" t="n">
        <v>0.7197</v>
      </c>
      <c r="G29" s="44" t="n">
        <v>400</v>
      </c>
      <c r="H29" s="45" t="n">
        <f aca="false">D29*G29</f>
        <v>1539.6</v>
      </c>
      <c r="I29" s="42"/>
      <c r="J29" s="45" t="n">
        <f aca="false">E29*G29</f>
        <v>31.112</v>
      </c>
      <c r="K29" s="42"/>
      <c r="L29" s="45" t="n">
        <f aca="false">F29*G29</f>
        <v>287.88</v>
      </c>
      <c r="M29" s="42"/>
    </row>
    <row r="30" customFormat="false" ht="12.8" hidden="false" customHeight="false" outlineLevel="0" collapsed="false">
      <c r="A30" s="8" t="s">
        <v>11</v>
      </c>
      <c r="B30" s="9" t="n">
        <v>1</v>
      </c>
      <c r="C30" s="46" t="n">
        <v>8.808</v>
      </c>
      <c r="D30" s="46" t="n">
        <v>8.812</v>
      </c>
      <c r="E30" s="46" t="n">
        <v>0.00431</v>
      </c>
      <c r="F30" s="46" t="n">
        <v>0.5875</v>
      </c>
      <c r="G30" s="47" t="n">
        <v>800</v>
      </c>
      <c r="H30" s="9" t="n">
        <f aca="false">D30*G30</f>
        <v>7049.6</v>
      </c>
      <c r="I30" s="8" t="n">
        <f aca="false">MEDIAN(H30:H31)</f>
        <v>5523.2</v>
      </c>
      <c r="J30" s="9" t="n">
        <f aca="false">E30*G30</f>
        <v>3.448</v>
      </c>
      <c r="K30" s="8" t="n">
        <f aca="false">MEDIAN(J30:J31)</f>
        <v>3.228</v>
      </c>
      <c r="L30" s="9" t="n">
        <f aca="false">F30*G30</f>
        <v>470</v>
      </c>
      <c r="M30" s="8" t="n">
        <f aca="false">MEDIAN(L30:L31)</f>
        <v>488.6</v>
      </c>
    </row>
    <row r="31" customFormat="false" ht="12.8" hidden="false" customHeight="false" outlineLevel="0" collapsed="false">
      <c r="A31" s="8"/>
      <c r="B31" s="12" t="n">
        <v>2</v>
      </c>
      <c r="C31" s="48" t="n">
        <v>4.992</v>
      </c>
      <c r="D31" s="48" t="n">
        <v>4.996</v>
      </c>
      <c r="E31" s="48" t="n">
        <v>0.00376</v>
      </c>
      <c r="F31" s="48" t="n">
        <v>0.634</v>
      </c>
      <c r="G31" s="49" t="n">
        <v>800</v>
      </c>
      <c r="H31" s="12" t="n">
        <f aca="false">D31*G31</f>
        <v>3996.8</v>
      </c>
      <c r="I31" s="8"/>
      <c r="J31" s="12" t="n">
        <f aca="false">E31*G31</f>
        <v>3.008</v>
      </c>
      <c r="K31" s="8"/>
      <c r="L31" s="12" t="n">
        <f aca="false">F31*G31</f>
        <v>507.2</v>
      </c>
      <c r="M31" s="8"/>
    </row>
  </sheetData>
  <mergeCells count="42">
    <mergeCell ref="A1:J1"/>
    <mergeCell ref="A2:B2"/>
    <mergeCell ref="A3:A4"/>
    <mergeCell ref="J3:J4"/>
    <mergeCell ref="A5:A6"/>
    <mergeCell ref="J5:J6"/>
    <mergeCell ref="A7:A8"/>
    <mergeCell ref="J7:J8"/>
    <mergeCell ref="A9:B9"/>
    <mergeCell ref="A12:T12"/>
    <mergeCell ref="A13:B13"/>
    <mergeCell ref="A14:A16"/>
    <mergeCell ref="I14:I16"/>
    <mergeCell ref="K14:K16"/>
    <mergeCell ref="N14:N16"/>
    <mergeCell ref="P14:P16"/>
    <mergeCell ref="R14:R16"/>
    <mergeCell ref="T14:T16"/>
    <mergeCell ref="A17:A19"/>
    <mergeCell ref="I17:I19"/>
    <mergeCell ref="K17:K19"/>
    <mergeCell ref="N17:N19"/>
    <mergeCell ref="P17:P19"/>
    <mergeCell ref="R17:R19"/>
    <mergeCell ref="T17:T19"/>
    <mergeCell ref="A20:A22"/>
    <mergeCell ref="I20:I22"/>
    <mergeCell ref="K20:K22"/>
    <mergeCell ref="N20:N22"/>
    <mergeCell ref="P20:P22"/>
    <mergeCell ref="R20:R22"/>
    <mergeCell ref="T20:T22"/>
    <mergeCell ref="A26:M26"/>
    <mergeCell ref="A27:B27"/>
    <mergeCell ref="A28:A29"/>
    <mergeCell ref="I28:I29"/>
    <mergeCell ref="K28:K29"/>
    <mergeCell ref="M28:M29"/>
    <mergeCell ref="A30:A31"/>
    <mergeCell ref="I30:I31"/>
    <mergeCell ref="K30:K31"/>
    <mergeCell ref="M30:M31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H83" activeCellId="0" sqref="H83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" min="1" style="50" width="11.53"/>
    <col collapsed="false" customWidth="true" hidden="false" outlineLevel="0" max="2" min="2" style="50" width="15.76"/>
    <col collapsed="false" customWidth="false" hidden="false" outlineLevel="0" max="5" min="3" style="50" width="11.53"/>
    <col collapsed="false" customWidth="true" hidden="false" outlineLevel="0" max="6" min="6" style="50" width="11.12"/>
    <col collapsed="false" customWidth="true" hidden="false" outlineLevel="0" max="9" min="9" style="0" width="17.01"/>
    <col collapsed="false" customWidth="true" hidden="false" outlineLevel="0" max="10" min="10" style="0" width="18.08"/>
    <col collapsed="false" customWidth="true" hidden="false" outlineLevel="0" max="11" min="11" style="0" width="18.54"/>
    <col collapsed="false" customWidth="true" hidden="false" outlineLevel="0" max="12" min="12" style="0" width="21.6"/>
    <col collapsed="false" customWidth="true" hidden="false" outlineLevel="0" max="13" min="13" style="0" width="14.79"/>
    <col collapsed="false" customWidth="true" hidden="false" outlineLevel="0" max="14" min="14" style="0" width="21.6"/>
    <col collapsed="false" customWidth="true" hidden="false" outlineLevel="0" max="15" min="15" style="0" width="13.22"/>
    <col collapsed="false" customWidth="true" hidden="false" outlineLevel="0" max="16" min="16" style="0" width="18.22"/>
  </cols>
  <sheetData>
    <row r="1" customFormat="false" ht="12.8" hidden="false" customHeight="false" outlineLevel="0" collapsed="false">
      <c r="A1" s="51" t="s">
        <v>39</v>
      </c>
      <c r="B1" s="51" t="s">
        <v>40</v>
      </c>
      <c r="C1" s="51" t="s">
        <v>41</v>
      </c>
      <c r="D1" s="51" t="s">
        <v>42</v>
      </c>
      <c r="E1" s="51" t="s">
        <v>17</v>
      </c>
      <c r="F1" s="51" t="s">
        <v>22</v>
      </c>
      <c r="I1" s="52"/>
      <c r="J1" s="53" t="s">
        <v>43</v>
      </c>
      <c r="K1" s="54" t="s">
        <v>44</v>
      </c>
      <c r="M1" s="55"/>
      <c r="N1" s="52"/>
      <c r="O1" s="53" t="s">
        <v>43</v>
      </c>
      <c r="P1" s="54" t="s">
        <v>44</v>
      </c>
    </row>
    <row r="2" customFormat="false" ht="12.8" hidden="false" customHeight="false" outlineLevel="0" collapsed="false">
      <c r="A2" s="56" t="s">
        <v>10</v>
      </c>
      <c r="B2" s="57" t="n">
        <f aca="false">Caracterizacao!J3</f>
        <v>1068.43760252525</v>
      </c>
      <c r="C2" s="56" t="n">
        <f aca="false">Caracterizacao!I28/1000</f>
        <v>1.7786</v>
      </c>
      <c r="D2" s="58" t="n">
        <f aca="false">Caracterizacao!M28/1000</f>
        <v>0.28176</v>
      </c>
      <c r="E2" s="59" t="n">
        <f aca="false">Caracterizacao!I14</f>
        <v>536.39975270356</v>
      </c>
      <c r="F2" s="57" t="n">
        <f aca="false">Caracterizacao!N14</f>
        <v>520.806779510477</v>
      </c>
      <c r="I2" s="60" t="s">
        <v>39</v>
      </c>
      <c r="J2" s="61" t="s">
        <v>45</v>
      </c>
      <c r="K2" s="62" t="s">
        <v>46</v>
      </c>
      <c r="M2" s="63"/>
      <c r="N2" s="60" t="s">
        <v>47</v>
      </c>
      <c r="O2" s="64" t="n">
        <v>1</v>
      </c>
      <c r="P2" s="65" t="n">
        <v>100</v>
      </c>
    </row>
    <row r="3" customFormat="false" ht="12.8" hidden="false" customHeight="false" outlineLevel="0" collapsed="false">
      <c r="A3" s="66" t="s">
        <v>45</v>
      </c>
      <c r="B3" s="67" t="n">
        <f aca="false">Caracterizacao!J5</f>
        <v>893.074035663281</v>
      </c>
      <c r="C3" s="66" t="n">
        <f aca="false">Caracterizacao!I30/1000</f>
        <v>5.5232</v>
      </c>
      <c r="D3" s="66" t="n">
        <f aca="false">Caracterizacao!M30/1000</f>
        <v>0.4886</v>
      </c>
      <c r="E3" s="67" t="n">
        <f aca="false">Caracterizacao!I17</f>
        <v>867.723994290837</v>
      </c>
      <c r="F3" s="67" t="n">
        <f aca="false">Caracterizacao!N17</f>
        <v>868.654816122481</v>
      </c>
      <c r="I3" s="68" t="s">
        <v>40</v>
      </c>
      <c r="J3" s="69" t="n">
        <f aca="false">INDEX($B$2:$B$100,MATCH($J$2,$A$2:$A$100,0))</f>
        <v>893.074035663281</v>
      </c>
      <c r="K3" s="70" t="n">
        <f aca="false">INDEX($B$2:$B$100,MATCH($K$2,$A$2:$A$100,0))</f>
        <v>1260</v>
      </c>
      <c r="M3" s="63"/>
      <c r="N3" s="68" t="s">
        <v>48</v>
      </c>
      <c r="O3" s="69" t="n">
        <f aca="false">J3</f>
        <v>893.074035663281</v>
      </c>
      <c r="P3" s="70" t="n">
        <f aca="false">K3</f>
        <v>1260</v>
      </c>
    </row>
    <row r="4" customFormat="false" ht="12.8" hidden="false" customHeight="false" outlineLevel="0" collapsed="false">
      <c r="A4" s="71" t="s">
        <v>46</v>
      </c>
      <c r="B4" s="71" t="n">
        <v>1260</v>
      </c>
      <c r="C4" s="71" t="n">
        <v>493</v>
      </c>
      <c r="D4" s="71" t="n">
        <v>0</v>
      </c>
      <c r="E4" s="71" t="n">
        <v>1000</v>
      </c>
      <c r="F4" s="71" t="n">
        <v>1000</v>
      </c>
      <c r="I4" s="68" t="s">
        <v>41</v>
      </c>
      <c r="J4" s="69" t="n">
        <f aca="false">INDEX($C$2:$C$100,MATCH($J$2,$A$2:$A$100,0))</f>
        <v>5.5232</v>
      </c>
      <c r="K4" s="70" t="n">
        <f aca="false">INDEX($C$2:$C$100,MATCH($K$2,$A$2:$A$100,0))</f>
        <v>493</v>
      </c>
      <c r="M4" s="63"/>
      <c r="N4" s="68" t="s">
        <v>49</v>
      </c>
      <c r="O4" s="69" t="n">
        <f aca="false">J4/$O$2</f>
        <v>5.5232</v>
      </c>
      <c r="P4" s="70" t="n">
        <f aca="false">K4/$P$2</f>
        <v>4.93</v>
      </c>
    </row>
    <row r="5" customFormat="false" ht="12.8" hidden="false" customHeight="false" outlineLevel="0" collapsed="false">
      <c r="A5" s="71" t="s">
        <v>50</v>
      </c>
      <c r="B5" s="71" t="n">
        <v>1540</v>
      </c>
      <c r="C5" s="71" t="n">
        <v>616</v>
      </c>
      <c r="D5" s="71" t="n">
        <v>0</v>
      </c>
      <c r="E5" s="71" t="n">
        <v>1540</v>
      </c>
      <c r="F5" s="71" t="n">
        <v>1540</v>
      </c>
      <c r="I5" s="68" t="s">
        <v>42</v>
      </c>
      <c r="J5" s="69" t="n">
        <f aca="false">INDEX($D$2:$D$100,MATCH($J$2,$A$2:$A$100,0))</f>
        <v>0.4886</v>
      </c>
      <c r="K5" s="70" t="n">
        <f aca="false">INDEX($D$2:$D$100,MATCH($K$2,$A$2:$A$100,0))</f>
        <v>0</v>
      </c>
      <c r="N5" s="68" t="s">
        <v>51</v>
      </c>
      <c r="O5" s="69" t="n">
        <f aca="false">J5/$O$2</f>
        <v>0.4886</v>
      </c>
      <c r="P5" s="70" t="n">
        <f aca="false">K5/$P$2</f>
        <v>0</v>
      </c>
    </row>
    <row r="6" customFormat="false" ht="12.8" hidden="false" customHeight="false" outlineLevel="0" collapsed="false">
      <c r="A6" s="71"/>
      <c r="B6" s="71"/>
      <c r="C6" s="71"/>
      <c r="D6" s="71"/>
      <c r="E6" s="71"/>
      <c r="F6" s="71"/>
      <c r="I6" s="68" t="s">
        <v>17</v>
      </c>
      <c r="J6" s="69" t="n">
        <f aca="false">INDEX($E$2:$E$100,MATCH($J$2,$A$2:$A$100,0))</f>
        <v>867.723994290837</v>
      </c>
      <c r="K6" s="70" t="n">
        <f aca="false">INDEX($E$2:$E$100,MATCH($K$2,$A$2:$A$100,0))</f>
        <v>1000</v>
      </c>
      <c r="N6" s="68" t="s">
        <v>52</v>
      </c>
      <c r="O6" s="69" t="n">
        <f aca="false">J6/$O$2</f>
        <v>867.723994290837</v>
      </c>
      <c r="P6" s="70" t="n">
        <f aca="false">K6/$P$2</f>
        <v>10</v>
      </c>
    </row>
    <row r="7" customFormat="false" ht="12.8" hidden="false" customHeight="false" outlineLevel="0" collapsed="false">
      <c r="A7" s="71"/>
      <c r="B7" s="71"/>
      <c r="C7" s="71"/>
      <c r="D7" s="71"/>
      <c r="E7" s="71"/>
      <c r="F7" s="71"/>
      <c r="I7" s="72" t="s">
        <v>22</v>
      </c>
      <c r="J7" s="73" t="n">
        <f aca="false">INDEX($F$2:$F$100,MATCH($J$2,$A$2:$A$100,0))</f>
        <v>868.654816122481</v>
      </c>
      <c r="K7" s="74" t="n">
        <f aca="false">INDEX($F$2:$F$100,MATCH($K$2,$A$2:$A$100,0))</f>
        <v>1000</v>
      </c>
      <c r="N7" s="72" t="s">
        <v>53</v>
      </c>
      <c r="O7" s="73" t="n">
        <f aca="false">J7/$O$2</f>
        <v>868.654816122481</v>
      </c>
      <c r="P7" s="74" t="n">
        <f aca="false">K7/$P$2</f>
        <v>10</v>
      </c>
    </row>
    <row r="8" customFormat="false" ht="12.8" hidden="false" customHeight="false" outlineLevel="0" collapsed="false">
      <c r="A8" s="71"/>
      <c r="B8" s="71"/>
      <c r="C8" s="71"/>
      <c r="D8" s="71"/>
      <c r="E8" s="71"/>
      <c r="F8" s="71"/>
    </row>
    <row r="9" customFormat="false" ht="12.8" hidden="false" customHeight="false" outlineLevel="0" collapsed="false">
      <c r="A9" s="71"/>
      <c r="B9" s="71"/>
      <c r="C9" s="71"/>
      <c r="D9" s="71"/>
      <c r="E9" s="71"/>
      <c r="F9" s="71"/>
    </row>
    <row r="10" customFormat="false" ht="12.8" hidden="false" customHeight="false" outlineLevel="0" collapsed="false">
      <c r="A10" s="71"/>
      <c r="B10" s="71"/>
      <c r="C10" s="71"/>
      <c r="D10" s="71"/>
      <c r="E10" s="71"/>
      <c r="F10" s="71"/>
      <c r="I10" s="75" t="s">
        <v>54</v>
      </c>
      <c r="J10" s="75"/>
      <c r="K10" s="75"/>
      <c r="L10" s="75"/>
      <c r="M10" s="75"/>
      <c r="N10" s="75"/>
      <c r="O10" s="75"/>
      <c r="P10" s="75"/>
    </row>
    <row r="11" customFormat="false" ht="12.8" hidden="false" customHeight="false" outlineLevel="0" collapsed="false">
      <c r="A11" s="71"/>
      <c r="B11" s="71"/>
      <c r="C11" s="71"/>
      <c r="D11" s="71"/>
      <c r="E11" s="71"/>
      <c r="F11" s="71"/>
    </row>
    <row r="12" customFormat="false" ht="12.8" hidden="false" customHeight="false" outlineLevel="0" collapsed="false">
      <c r="A12" s="71"/>
      <c r="B12" s="71"/>
      <c r="C12" s="71"/>
      <c r="D12" s="71"/>
      <c r="E12" s="71"/>
      <c r="F12" s="71"/>
      <c r="I12" s="2" t="s">
        <v>55</v>
      </c>
      <c r="J12" s="2"/>
    </row>
    <row r="13" customFormat="false" ht="12.8" hidden="false" customHeight="false" outlineLevel="0" collapsed="false">
      <c r="A13" s="71"/>
      <c r="B13" s="71"/>
      <c r="C13" s="71"/>
      <c r="D13" s="71"/>
      <c r="E13" s="71"/>
      <c r="F13" s="71"/>
      <c r="I13" s="76" t="s">
        <v>56</v>
      </c>
      <c r="J13" s="77" t="n">
        <v>25</v>
      </c>
    </row>
    <row r="14" customFormat="false" ht="12.8" hidden="false" customHeight="false" outlineLevel="0" collapsed="false">
      <c r="A14" s="71"/>
      <c r="B14" s="71"/>
      <c r="C14" s="71"/>
      <c r="D14" s="71"/>
      <c r="E14" s="71"/>
      <c r="F14" s="71"/>
      <c r="I14" s="78" t="s">
        <v>57</v>
      </c>
      <c r="J14" s="79" t="n">
        <v>1</v>
      </c>
      <c r="L14" s="2" t="s">
        <v>58</v>
      </c>
    </row>
    <row r="15" customFormat="false" ht="12.8" hidden="false" customHeight="true" outlineLevel="0" collapsed="false">
      <c r="A15" s="71"/>
      <c r="B15" s="71"/>
      <c r="C15" s="71"/>
      <c r="D15" s="71"/>
      <c r="E15" s="71"/>
      <c r="F15" s="71"/>
      <c r="I15" s="78" t="s">
        <v>59</v>
      </c>
      <c r="J15" s="80" t="n">
        <f aca="false">J13/J14</f>
        <v>25</v>
      </c>
      <c r="L15" s="68" t="n">
        <f aca="false">((J15*P5)-P4)</f>
        <v>-4.93</v>
      </c>
    </row>
    <row r="16" customFormat="false" ht="12.8" hidden="false" customHeight="false" outlineLevel="0" collapsed="false">
      <c r="A16" s="71"/>
      <c r="B16" s="71"/>
      <c r="C16" s="71"/>
      <c r="D16" s="71"/>
      <c r="E16" s="71"/>
      <c r="F16" s="71"/>
      <c r="I16" s="81" t="s">
        <v>60</v>
      </c>
      <c r="J16" s="82" t="n">
        <f aca="false">((J15*P5)-P4)/(O4-(J15*O5))</f>
        <v>0.736722555964016</v>
      </c>
      <c r="L16" s="72" t="n">
        <f aca="false">(O4-(J15*O5))</f>
        <v>-6.6918</v>
      </c>
    </row>
    <row r="17" customFormat="false" ht="12.8" hidden="false" customHeight="false" outlineLevel="0" collapsed="false">
      <c r="A17" s="71"/>
      <c r="B17" s="71"/>
      <c r="C17" s="71"/>
      <c r="D17" s="71"/>
      <c r="E17" s="71"/>
      <c r="F17" s="71"/>
    </row>
    <row r="18" customFormat="false" ht="12.8" hidden="false" customHeight="false" outlineLevel="0" collapsed="false">
      <c r="A18" s="71"/>
      <c r="B18" s="71"/>
      <c r="C18" s="71"/>
      <c r="D18" s="71"/>
      <c r="E18" s="71"/>
      <c r="F18" s="71"/>
      <c r="I18" s="83" t="s">
        <v>61</v>
      </c>
      <c r="J18" s="84" t="s">
        <v>62</v>
      </c>
      <c r="K18" s="84" t="s">
        <v>63</v>
      </c>
      <c r="L18" s="84" t="s">
        <v>64</v>
      </c>
      <c r="M18" s="75" t="s">
        <v>65</v>
      </c>
      <c r="N18" s="75"/>
      <c r="O18" s="85" t="s">
        <v>66</v>
      </c>
      <c r="P18" s="85"/>
    </row>
    <row r="19" customFormat="false" ht="12.8" hidden="false" customHeight="false" outlineLevel="0" collapsed="false">
      <c r="A19" s="71"/>
      <c r="B19" s="71"/>
      <c r="C19" s="71"/>
      <c r="D19" s="71"/>
      <c r="E19" s="71"/>
      <c r="F19" s="71"/>
      <c r="I19" s="86" t="s">
        <v>43</v>
      </c>
      <c r="J19" s="87" t="s">
        <v>61</v>
      </c>
      <c r="K19" s="87" t="n">
        <f aca="false">J16*J20</f>
        <v>0.736722555964016</v>
      </c>
      <c r="L19" s="87" t="n">
        <f aca="false">K19*1000</f>
        <v>736.722555964015</v>
      </c>
      <c r="M19" s="88" t="n">
        <f aca="false">K19*O4</f>
        <v>4.06906602110045</v>
      </c>
      <c r="N19" s="88"/>
      <c r="O19" s="89" t="s">
        <v>61</v>
      </c>
      <c r="P19" s="89"/>
    </row>
    <row r="20" customFormat="false" ht="12.8" hidden="false" customHeight="false" outlineLevel="0" collapsed="false">
      <c r="A20" s="71"/>
      <c r="B20" s="71"/>
      <c r="C20" s="71"/>
      <c r="D20" s="71"/>
      <c r="E20" s="71"/>
      <c r="F20" s="71"/>
      <c r="I20" s="90" t="s">
        <v>44</v>
      </c>
      <c r="J20" s="91" t="n">
        <v>1</v>
      </c>
      <c r="K20" s="92" t="s">
        <v>61</v>
      </c>
      <c r="L20" s="92" t="n">
        <f aca="false">J20*1000</f>
        <v>1000</v>
      </c>
      <c r="M20" s="93" t="n">
        <f aca="false">J20*P4</f>
        <v>4.93</v>
      </c>
      <c r="N20" s="93"/>
      <c r="O20" s="94" t="s">
        <v>61</v>
      </c>
      <c r="P20" s="94"/>
    </row>
    <row r="21" customFormat="false" ht="12.8" hidden="false" customHeight="false" outlineLevel="0" collapsed="false">
      <c r="A21" s="71"/>
      <c r="B21" s="71"/>
      <c r="C21" s="71"/>
      <c r="D21" s="71"/>
      <c r="E21" s="71"/>
      <c r="F21" s="71"/>
      <c r="I21" s="95" t="s">
        <v>67</v>
      </c>
      <c r="J21" s="96" t="n">
        <f aca="false">J20+K19</f>
        <v>1.73672255596402</v>
      </c>
      <c r="K21" s="96" t="s">
        <v>61</v>
      </c>
      <c r="L21" s="96" t="n">
        <f aca="false">J21*1000</f>
        <v>1736.72255596402</v>
      </c>
      <c r="M21" s="96" t="n">
        <f aca="false">M19+M20</f>
        <v>8.99906602110045</v>
      </c>
      <c r="N21" s="96"/>
      <c r="O21" s="97" t="n">
        <f aca="false">M21/J21</f>
        <v>5.18163709580272</v>
      </c>
      <c r="P21" s="97"/>
    </row>
    <row r="22" customFormat="false" ht="12.8" hidden="false" customHeight="false" outlineLevel="0" collapsed="false">
      <c r="A22" s="71"/>
      <c r="B22" s="71"/>
      <c r="C22" s="71"/>
      <c r="D22" s="71"/>
      <c r="E22" s="71"/>
      <c r="F22" s="71"/>
      <c r="I22" s="98" t="s">
        <v>43</v>
      </c>
      <c r="J22" s="99" t="n">
        <v>1</v>
      </c>
      <c r="K22" s="100" t="s">
        <v>61</v>
      </c>
      <c r="L22" s="100" t="n">
        <f aca="false">J22*1000</f>
        <v>1000</v>
      </c>
      <c r="M22" s="101" t="n">
        <f aca="false">J22*O3</f>
        <v>893.074035663281</v>
      </c>
      <c r="N22" s="101"/>
      <c r="O22" s="102" t="s">
        <v>61</v>
      </c>
      <c r="P22" s="102"/>
    </row>
    <row r="23" customFormat="false" ht="12.8" hidden="false" customHeight="false" outlineLevel="0" collapsed="false">
      <c r="A23" s="71"/>
      <c r="B23" s="71"/>
      <c r="C23" s="71"/>
      <c r="D23" s="71"/>
      <c r="E23" s="71"/>
      <c r="F23" s="71"/>
      <c r="I23" s="103" t="s">
        <v>44</v>
      </c>
      <c r="J23" s="104" t="s">
        <v>61</v>
      </c>
      <c r="K23" s="104" t="n">
        <f aca="false">J22/J16</f>
        <v>1.3573630831643</v>
      </c>
      <c r="L23" s="104" t="n">
        <f aca="false">K23*1000</f>
        <v>1357.3630831643</v>
      </c>
      <c r="M23" s="105" t="n">
        <f aca="false">K23*P3</f>
        <v>1710.27748478702</v>
      </c>
      <c r="N23" s="105"/>
      <c r="O23" s="106" t="s">
        <v>61</v>
      </c>
      <c r="P23" s="106"/>
    </row>
    <row r="24" customFormat="false" ht="12.8" hidden="false" customHeight="false" outlineLevel="0" collapsed="false">
      <c r="A24" s="71"/>
      <c r="B24" s="71"/>
      <c r="C24" s="71"/>
      <c r="D24" s="71"/>
      <c r="E24" s="71"/>
      <c r="F24" s="71"/>
      <c r="I24" s="107" t="s">
        <v>67</v>
      </c>
      <c r="J24" s="108" t="n">
        <f aca="false">J22+K23</f>
        <v>2.3573630831643</v>
      </c>
      <c r="K24" s="108" t="s">
        <v>61</v>
      </c>
      <c r="L24" s="108" t="n">
        <f aca="false">J24*1000</f>
        <v>2357.3630831643</v>
      </c>
      <c r="M24" s="108" t="n">
        <f aca="false">M22+M23</f>
        <v>2603.3515204503</v>
      </c>
      <c r="N24" s="108"/>
      <c r="O24" s="109" t="n">
        <f aca="false">M24/J24</f>
        <v>1104.34898172572</v>
      </c>
      <c r="P24" s="109"/>
    </row>
    <row r="25" customFormat="false" ht="12.8" hidden="false" customHeight="false" outlineLevel="0" collapsed="false">
      <c r="A25" s="71"/>
      <c r="B25" s="71"/>
      <c r="C25" s="71"/>
      <c r="D25" s="71"/>
      <c r="E25" s="71"/>
      <c r="F25" s="71"/>
    </row>
    <row r="26" customFormat="false" ht="12.8" hidden="false" customHeight="false" outlineLevel="0" collapsed="false">
      <c r="A26" s="71"/>
      <c r="B26" s="71"/>
      <c r="C26" s="71"/>
      <c r="D26" s="71"/>
      <c r="E26" s="71"/>
      <c r="F26" s="71"/>
    </row>
    <row r="27" customFormat="false" ht="12.8" hidden="false" customHeight="false" outlineLevel="0" collapsed="false">
      <c r="A27" s="71"/>
      <c r="B27" s="71"/>
      <c r="C27" s="71"/>
      <c r="D27" s="71"/>
      <c r="E27" s="71"/>
      <c r="F27" s="71"/>
      <c r="I27" s="75" t="s">
        <v>68</v>
      </c>
      <c r="J27" s="75"/>
      <c r="K27" s="75"/>
      <c r="L27" s="75"/>
      <c r="M27" s="75"/>
      <c r="N27" s="75"/>
      <c r="O27" s="75"/>
      <c r="P27" s="75"/>
    </row>
    <row r="28" customFormat="false" ht="12.8" hidden="false" customHeight="false" outlineLevel="0" collapsed="false">
      <c r="A28" s="71"/>
      <c r="B28" s="71"/>
      <c r="C28" s="71"/>
      <c r="D28" s="71"/>
      <c r="E28" s="71"/>
      <c r="F28" s="71"/>
    </row>
    <row r="29" customFormat="false" ht="12.8" hidden="false" customHeight="false" outlineLevel="0" collapsed="false">
      <c r="A29" s="71"/>
      <c r="B29" s="71"/>
      <c r="C29" s="71"/>
      <c r="D29" s="71"/>
      <c r="E29" s="71"/>
      <c r="F29" s="71"/>
      <c r="I29" s="110" t="s">
        <v>61</v>
      </c>
      <c r="J29" s="75" t="s">
        <v>69</v>
      </c>
      <c r="K29" s="75" t="s">
        <v>70</v>
      </c>
      <c r="L29" s="75" t="s">
        <v>71</v>
      </c>
      <c r="M29" s="75" t="s">
        <v>19</v>
      </c>
      <c r="N29" s="75" t="s">
        <v>72</v>
      </c>
      <c r="O29" s="75" t="s">
        <v>24</v>
      </c>
      <c r="P29" s="23" t="s">
        <v>73</v>
      </c>
    </row>
    <row r="30" customFormat="false" ht="12.8" hidden="false" customHeight="false" outlineLevel="0" collapsed="false">
      <c r="A30" s="71"/>
      <c r="B30" s="71"/>
      <c r="C30" s="71"/>
      <c r="D30" s="71"/>
      <c r="E30" s="71"/>
      <c r="F30" s="71"/>
      <c r="I30" s="111" t="s">
        <v>43</v>
      </c>
      <c r="J30" s="87" t="n">
        <f aca="false">K19*O3</f>
        <v>657.947786218951</v>
      </c>
      <c r="K30" s="112" t="n">
        <f aca="false">J30+J31</f>
        <v>1917.94778621895</v>
      </c>
      <c r="L30" s="112" t="n">
        <f aca="false">($O$6*K19)+($P$6*J20)</f>
        <v>649.27183894525</v>
      </c>
      <c r="M30" s="112" t="n">
        <f aca="false">(L30/K30)*100</f>
        <v>33.8524251603964</v>
      </c>
      <c r="N30" s="112" t="n">
        <f aca="false">($O$7*K19)+($P$7*J20)</f>
        <v>649.957596384206</v>
      </c>
      <c r="O30" s="112" t="n">
        <f aca="false">(N30/K30)*100</f>
        <v>33.8881799105457</v>
      </c>
      <c r="P30" s="113" t="n">
        <f aca="false">N30/L30</f>
        <v>1.00105619464425</v>
      </c>
    </row>
    <row r="31" customFormat="false" ht="12.8" hidden="false" customHeight="false" outlineLevel="0" collapsed="false">
      <c r="A31" s="71"/>
      <c r="B31" s="71"/>
      <c r="C31" s="71"/>
      <c r="D31" s="71"/>
      <c r="E31" s="71"/>
      <c r="F31" s="71"/>
      <c r="I31" s="114" t="s">
        <v>44</v>
      </c>
      <c r="J31" s="96" t="n">
        <f aca="false">J20*P3</f>
        <v>1260</v>
      </c>
      <c r="K31" s="112"/>
      <c r="L31" s="112"/>
      <c r="M31" s="112"/>
      <c r="N31" s="112"/>
      <c r="O31" s="112"/>
      <c r="P31" s="113"/>
    </row>
    <row r="32" customFormat="false" ht="12.8" hidden="false" customHeight="false" outlineLevel="0" collapsed="false">
      <c r="A32" s="71"/>
      <c r="B32" s="71"/>
      <c r="C32" s="71"/>
      <c r="D32" s="71"/>
      <c r="E32" s="71"/>
      <c r="F32" s="71"/>
      <c r="I32" s="115" t="s">
        <v>43</v>
      </c>
      <c r="J32" s="100" t="n">
        <f aca="false">J22*O3</f>
        <v>893.074035663281</v>
      </c>
      <c r="K32" s="116" t="n">
        <f aca="false">J32+J33</f>
        <v>2603.3515204503</v>
      </c>
      <c r="L32" s="116" t="n">
        <f aca="false">($O$6*K23)+($P$6*J22)</f>
        <v>1187.81651622625</v>
      </c>
      <c r="M32" s="116" t="n">
        <f aca="false">(L32/K32)*100</f>
        <v>45.6264360343008</v>
      </c>
      <c r="N32" s="116" t="n">
        <f aca="false">($O$7*K23)+($P$7*J22)</f>
        <v>1189.07997941753</v>
      </c>
      <c r="O32" s="116" t="n">
        <f aca="false">(N32/K32)*100</f>
        <v>45.6749682122011</v>
      </c>
      <c r="P32" s="117" t="n">
        <f aca="false">N32/L32</f>
        <v>1.00106368548847</v>
      </c>
    </row>
    <row r="33" customFormat="false" ht="12.8" hidden="false" customHeight="false" outlineLevel="0" collapsed="false">
      <c r="A33" s="71"/>
      <c r="B33" s="71"/>
      <c r="C33" s="71"/>
      <c r="D33" s="71"/>
      <c r="E33" s="71"/>
      <c r="F33" s="71"/>
      <c r="I33" s="118" t="s">
        <v>44</v>
      </c>
      <c r="J33" s="108" t="n">
        <f aca="false">K23*P3</f>
        <v>1710.27748478702</v>
      </c>
      <c r="K33" s="116"/>
      <c r="L33" s="116"/>
      <c r="M33" s="116"/>
      <c r="N33" s="116"/>
      <c r="O33" s="116"/>
      <c r="P33" s="117"/>
    </row>
    <row r="34" customFormat="false" ht="12.8" hidden="false" customHeight="false" outlineLevel="0" collapsed="false">
      <c r="A34" s="71"/>
      <c r="B34" s="71"/>
      <c r="C34" s="71"/>
      <c r="D34" s="71"/>
      <c r="E34" s="71"/>
      <c r="F34" s="71"/>
    </row>
    <row r="35" customFormat="false" ht="12.8" hidden="false" customHeight="false" outlineLevel="0" collapsed="false">
      <c r="A35" s="71"/>
      <c r="B35" s="71"/>
      <c r="C35" s="71"/>
      <c r="D35" s="71"/>
      <c r="E35" s="71"/>
      <c r="F35" s="71"/>
      <c r="I35" s="2" t="s">
        <v>74</v>
      </c>
      <c r="K35" s="76" t="s">
        <v>75</v>
      </c>
      <c r="L35" s="119" t="s">
        <v>76</v>
      </c>
      <c r="M35" s="119" t="s">
        <v>62</v>
      </c>
      <c r="N35" s="120" t="s">
        <v>77</v>
      </c>
    </row>
    <row r="36" customFormat="false" ht="12.8" hidden="false" customHeight="false" outlineLevel="0" collapsed="false">
      <c r="A36" s="71"/>
      <c r="B36" s="71"/>
      <c r="C36" s="71"/>
      <c r="D36" s="71"/>
      <c r="E36" s="71"/>
      <c r="F36" s="71"/>
      <c r="I36" s="121" t="n">
        <v>10</v>
      </c>
      <c r="K36" s="86" t="n">
        <f aca="false">M30/$I$36</f>
        <v>3.38524251603964</v>
      </c>
      <c r="L36" s="87" t="n">
        <f aca="false">N30/K36</f>
        <v>191.997351239871</v>
      </c>
      <c r="M36" s="87" t="n">
        <f aca="false">K36*J21</f>
        <v>5.87922703501442</v>
      </c>
      <c r="N36" s="122" t="n">
        <f aca="false">L36/M36</f>
        <v>32.6569037215961</v>
      </c>
    </row>
    <row r="37" customFormat="false" ht="12.8" hidden="false" customHeight="false" outlineLevel="0" collapsed="false">
      <c r="A37" s="71"/>
      <c r="B37" s="71"/>
      <c r="C37" s="71"/>
      <c r="D37" s="71"/>
      <c r="E37" s="71"/>
      <c r="F37" s="71"/>
      <c r="I37" s="123" t="n">
        <v>15</v>
      </c>
      <c r="K37" s="124" t="n">
        <f aca="false">M30/$I$37</f>
        <v>2.25682834402643</v>
      </c>
      <c r="L37" s="125" t="n">
        <f aca="false">N30/K37</f>
        <v>287.996026859806</v>
      </c>
      <c r="M37" s="125" t="n">
        <f aca="false">K37*J21</f>
        <v>3.91948469000961</v>
      </c>
      <c r="N37" s="126" t="n">
        <f aca="false">L37/M37</f>
        <v>73.4780333735912</v>
      </c>
    </row>
    <row r="38" customFormat="false" ht="12.8" hidden="false" customHeight="false" outlineLevel="0" collapsed="false">
      <c r="A38" s="71"/>
      <c r="B38" s="71"/>
      <c r="C38" s="71"/>
      <c r="D38" s="71"/>
      <c r="E38" s="71"/>
      <c r="F38" s="71"/>
      <c r="K38" s="98" t="n">
        <f aca="false">M32/$I$36</f>
        <v>4.56264360343008</v>
      </c>
      <c r="L38" s="100" t="n">
        <f aca="false">N32/K38</f>
        <v>260.612066768399</v>
      </c>
      <c r="M38" s="100" t="n">
        <f aca="false">K38*J24</f>
        <v>10.7558075923618</v>
      </c>
      <c r="N38" s="127" t="n">
        <f aca="false">L38/M38</f>
        <v>24.2298929699591</v>
      </c>
    </row>
    <row r="39" customFormat="false" ht="12.8" hidden="false" customHeight="false" outlineLevel="0" collapsed="false">
      <c r="A39" s="71"/>
      <c r="B39" s="71"/>
      <c r="C39" s="71"/>
      <c r="D39" s="71"/>
      <c r="E39" s="71"/>
      <c r="F39" s="71"/>
      <c r="K39" s="128" t="n">
        <f aca="false">M32/$I$37</f>
        <v>3.04176240228672</v>
      </c>
      <c r="L39" s="129" t="n">
        <f aca="false">N32/K39</f>
        <v>390.918100152599</v>
      </c>
      <c r="M39" s="129" t="n">
        <f aca="false">K39*J24</f>
        <v>7.17053839490786</v>
      </c>
      <c r="N39" s="130" t="n">
        <f aca="false">L39/M39</f>
        <v>54.5172591824079</v>
      </c>
    </row>
    <row r="40" customFormat="false" ht="12.8" hidden="false" customHeight="false" outlineLevel="0" collapsed="false">
      <c r="A40" s="71"/>
      <c r="B40" s="71"/>
      <c r="C40" s="71"/>
      <c r="D40" s="71"/>
      <c r="E40" s="71"/>
      <c r="F40" s="71"/>
    </row>
    <row r="41" customFormat="false" ht="12.8" hidden="false" customHeight="false" outlineLevel="0" collapsed="false">
      <c r="A41" s="71"/>
      <c r="B41" s="71"/>
      <c r="C41" s="71"/>
      <c r="D41" s="71"/>
      <c r="E41" s="71"/>
      <c r="F41" s="71"/>
    </row>
    <row r="42" customFormat="false" ht="12.8" hidden="false" customHeight="false" outlineLevel="0" collapsed="false">
      <c r="A42" s="71"/>
      <c r="B42" s="71"/>
      <c r="C42" s="71"/>
      <c r="D42" s="71"/>
      <c r="E42" s="71"/>
      <c r="F42" s="71"/>
      <c r="I42" s="75" t="s">
        <v>78</v>
      </c>
      <c r="J42" s="75"/>
      <c r="K42" s="75"/>
      <c r="L42" s="75"/>
      <c r="M42" s="75"/>
      <c r="N42" s="75"/>
      <c r="O42" s="75"/>
      <c r="P42" s="75"/>
    </row>
    <row r="43" customFormat="false" ht="12.8" hidden="false" customHeight="false" outlineLevel="0" collapsed="false">
      <c r="A43" s="71"/>
      <c r="B43" s="71"/>
      <c r="C43" s="71"/>
      <c r="D43" s="71"/>
      <c r="E43" s="71"/>
      <c r="F43" s="71"/>
    </row>
    <row r="44" customFormat="false" ht="13.8" hidden="false" customHeight="false" outlineLevel="0" collapsed="false">
      <c r="A44" s="71"/>
      <c r="B44" s="71"/>
      <c r="C44" s="71"/>
      <c r="D44" s="71"/>
      <c r="E44" s="71"/>
      <c r="F44" s="71"/>
      <c r="I44" s="131" t="s">
        <v>79</v>
      </c>
      <c r="J44" s="132" t="s">
        <v>62</v>
      </c>
      <c r="K44" s="75" t="s">
        <v>80</v>
      </c>
      <c r="L44" s="132" t="s">
        <v>81</v>
      </c>
      <c r="M44" s="133" t="s">
        <v>82</v>
      </c>
      <c r="O44" s="2" t="s">
        <v>83</v>
      </c>
    </row>
    <row r="45" customFormat="false" ht="13.8" hidden="false" customHeight="false" outlineLevel="0" collapsed="false">
      <c r="A45" s="71"/>
      <c r="B45" s="71"/>
      <c r="C45" s="71"/>
      <c r="D45" s="71"/>
      <c r="E45" s="71"/>
      <c r="F45" s="71"/>
      <c r="I45" s="134" t="s">
        <v>84</v>
      </c>
      <c r="J45" s="135" t="n">
        <v>1</v>
      </c>
      <c r="K45" s="119" t="n">
        <f aca="false">J45/1000</f>
        <v>0.001</v>
      </c>
      <c r="L45" s="136" t="n">
        <v>30</v>
      </c>
      <c r="M45" s="137" t="n">
        <f aca="false">J45/L45</f>
        <v>0.0333333333333333</v>
      </c>
      <c r="O45" s="121" t="n">
        <v>4</v>
      </c>
    </row>
    <row r="46" customFormat="false" ht="12.8" hidden="false" customHeight="false" outlineLevel="0" collapsed="false">
      <c r="A46" s="71"/>
      <c r="B46" s="71"/>
      <c r="C46" s="71"/>
      <c r="D46" s="71"/>
      <c r="E46" s="71"/>
      <c r="F46" s="71"/>
      <c r="I46" s="138" t="s">
        <v>85</v>
      </c>
      <c r="J46" s="139" t="n">
        <v>1</v>
      </c>
      <c r="K46" s="52" t="n">
        <f aca="false">J46/1000</f>
        <v>0.001</v>
      </c>
      <c r="L46" s="140" t="n">
        <v>3</v>
      </c>
      <c r="M46" s="141" t="n">
        <f aca="false">J46/L46</f>
        <v>0.333333333333333</v>
      </c>
      <c r="O46" s="121" t="n">
        <v>14.2</v>
      </c>
    </row>
    <row r="47" customFormat="false" ht="12.8" hidden="false" customHeight="false" outlineLevel="0" collapsed="false">
      <c r="A47" s="71"/>
      <c r="B47" s="71"/>
      <c r="C47" s="71"/>
      <c r="D47" s="71"/>
      <c r="E47" s="71"/>
      <c r="F47" s="71"/>
      <c r="I47" s="142" t="s">
        <v>86</v>
      </c>
      <c r="J47" s="143" t="n">
        <v>4</v>
      </c>
      <c r="K47" s="144" t="n">
        <f aca="false">J47/1000</f>
        <v>0.004</v>
      </c>
      <c r="L47" s="145" t="n">
        <v>12</v>
      </c>
      <c r="M47" s="146" t="n">
        <f aca="false">J47/L47</f>
        <v>0.333333333333333</v>
      </c>
      <c r="O47" s="123" t="n">
        <v>2.6</v>
      </c>
    </row>
    <row r="48" customFormat="false" ht="12.8" hidden="false" customHeight="false" outlineLevel="0" collapsed="false">
      <c r="A48" s="71"/>
      <c r="B48" s="71"/>
      <c r="C48" s="71"/>
      <c r="D48" s="71"/>
      <c r="E48" s="71"/>
      <c r="F48" s="71"/>
    </row>
    <row r="49" customFormat="false" ht="12.8" hidden="false" customHeight="false" outlineLevel="0" collapsed="false">
      <c r="A49" s="71"/>
      <c r="B49" s="71"/>
      <c r="C49" s="71"/>
      <c r="D49" s="71"/>
      <c r="E49" s="71"/>
      <c r="F49" s="71"/>
    </row>
    <row r="50" customFormat="false" ht="13.8" hidden="false" customHeight="false" outlineLevel="0" collapsed="false">
      <c r="A50" s="71"/>
      <c r="B50" s="71"/>
      <c r="C50" s="71"/>
      <c r="D50" s="71"/>
      <c r="E50" s="71"/>
      <c r="F50" s="71"/>
      <c r="I50" s="110" t="s">
        <v>87</v>
      </c>
      <c r="J50" s="75" t="s">
        <v>88</v>
      </c>
      <c r="K50" s="133" t="s">
        <v>89</v>
      </c>
      <c r="N50" s="2" t="s">
        <v>90</v>
      </c>
      <c r="O50" s="2" t="s">
        <v>62</v>
      </c>
      <c r="P50" s="2" t="s">
        <v>91</v>
      </c>
    </row>
    <row r="51" customFormat="false" ht="12.8" hidden="false" customHeight="false" outlineLevel="0" collapsed="false">
      <c r="A51" s="71"/>
      <c r="B51" s="71"/>
      <c r="C51" s="71"/>
      <c r="D51" s="71"/>
      <c r="E51" s="71"/>
      <c r="F51" s="71"/>
      <c r="I51" s="147" t="n">
        <f aca="false">$M$45*$N$36</f>
        <v>1.08856345738654</v>
      </c>
      <c r="J51" s="148" t="n">
        <f aca="false">I51/1000</f>
        <v>0.00108856345738654</v>
      </c>
      <c r="K51" s="149" t="n">
        <f aca="false">J51*(1/K45)</f>
        <v>1.08856345738654</v>
      </c>
      <c r="N51" s="150" t="n">
        <f aca="false">K51/$O$45</f>
        <v>0.272140864346634</v>
      </c>
      <c r="O51" s="150" t="n">
        <f aca="false">N51*$M$36</f>
        <v>1.59997792699892</v>
      </c>
      <c r="P51" s="150" t="n">
        <f aca="false">($M$30*$J$21)/O51</f>
        <v>36.74567589843</v>
      </c>
    </row>
    <row r="52" customFormat="false" ht="12.8" hidden="false" customHeight="false" outlineLevel="0" collapsed="false">
      <c r="A52" s="71"/>
      <c r="B52" s="71"/>
      <c r="C52" s="71"/>
      <c r="D52" s="71"/>
      <c r="E52" s="71"/>
      <c r="F52" s="71"/>
      <c r="I52" s="151" t="n">
        <f aca="false">$M$46*$N$36</f>
        <v>10.8856345738654</v>
      </c>
      <c r="J52" s="152" t="n">
        <f aca="false">I52/1000</f>
        <v>0.0108856345738654</v>
      </c>
      <c r="K52" s="153" t="n">
        <f aca="false">J52*(1/K46)</f>
        <v>10.8856345738654</v>
      </c>
      <c r="N52" s="150" t="n">
        <f aca="false">K52/$O$46</f>
        <v>0.766593984075025</v>
      </c>
      <c r="O52" s="150" t="n">
        <f aca="false">N52*$M$36</f>
        <v>4.5069800760533</v>
      </c>
      <c r="P52" s="150" t="n">
        <f aca="false">($M$30*$J$21)/O52</f>
        <v>13.0447149439426</v>
      </c>
    </row>
    <row r="53" customFormat="false" ht="12.8" hidden="false" customHeight="false" outlineLevel="0" collapsed="false">
      <c r="A53" s="71"/>
      <c r="B53" s="71"/>
      <c r="C53" s="71"/>
      <c r="D53" s="71"/>
      <c r="E53" s="71"/>
      <c r="F53" s="71"/>
      <c r="I53" s="151" t="n">
        <f aca="false">$M$47*$N$36</f>
        <v>10.8856345738654</v>
      </c>
      <c r="J53" s="154" t="n">
        <f aca="false">I53/1000</f>
        <v>0.0108856345738654</v>
      </c>
      <c r="K53" s="153" t="n">
        <f aca="false">J53*(1/K47)</f>
        <v>2.72140864346634</v>
      </c>
      <c r="N53" s="150" t="n">
        <f aca="false">K53/$O$47</f>
        <v>1.04669563210244</v>
      </c>
      <c r="O53" s="150" t="n">
        <f aca="false">N53*$M$36</f>
        <v>6.15376125768816</v>
      </c>
      <c r="P53" s="150" t="n">
        <f aca="false">($M$30*$J$21)/O53</f>
        <v>9.55387573359179</v>
      </c>
    </row>
    <row r="54" customFormat="false" ht="12.8" hidden="false" customHeight="false" outlineLevel="0" collapsed="false">
      <c r="A54" s="71"/>
      <c r="B54" s="71"/>
      <c r="C54" s="71"/>
      <c r="D54" s="71"/>
      <c r="E54" s="71"/>
      <c r="F54" s="71"/>
      <c r="I54" s="155" t="n">
        <f aca="false">$M$45*$N$37</f>
        <v>2.4492677791197</v>
      </c>
      <c r="J54" s="156" t="n">
        <f aca="false">I54/1000</f>
        <v>0.0024492677791197</v>
      </c>
      <c r="K54" s="157" t="n">
        <f aca="false">J54*(1/K45)</f>
        <v>2.4492677791197</v>
      </c>
      <c r="N54" s="158" t="n">
        <f aca="false">K54/$O$45</f>
        <v>0.612316944779926</v>
      </c>
      <c r="O54" s="158" t="n">
        <f aca="false">N54*$M$37</f>
        <v>2.39996689049838</v>
      </c>
      <c r="P54" s="158" t="n">
        <f aca="false">($M$30*$J$21)/O54</f>
        <v>24.49711726562</v>
      </c>
    </row>
    <row r="55" customFormat="false" ht="12.8" hidden="false" customHeight="false" outlineLevel="0" collapsed="false">
      <c r="A55" s="71"/>
      <c r="B55" s="71"/>
      <c r="C55" s="71"/>
      <c r="D55" s="71"/>
      <c r="E55" s="71"/>
      <c r="F55" s="71"/>
      <c r="I55" s="155" t="n">
        <f aca="false">$M$46*$N$37</f>
        <v>24.492677791197</v>
      </c>
      <c r="J55" s="159" t="n">
        <f aca="false">I55/1000</f>
        <v>0.024492677791197</v>
      </c>
      <c r="K55" s="157" t="n">
        <f aca="false">J55*(1/K46)</f>
        <v>24.492677791197</v>
      </c>
      <c r="N55" s="158" t="n">
        <f aca="false">K55/$O$46</f>
        <v>1.72483646416881</v>
      </c>
      <c r="O55" s="158" t="n">
        <f aca="false">N55*$M$37</f>
        <v>6.76047011407995</v>
      </c>
      <c r="P55" s="158" t="n">
        <f aca="false">($M$30*$J$21)/O55</f>
        <v>8.69647662929509</v>
      </c>
    </row>
    <row r="56" customFormat="false" ht="12.8" hidden="false" customHeight="false" outlineLevel="0" collapsed="false">
      <c r="A56" s="71"/>
      <c r="B56" s="71"/>
      <c r="C56" s="71"/>
      <c r="D56" s="71"/>
      <c r="E56" s="71"/>
      <c r="F56" s="71"/>
      <c r="I56" s="155" t="n">
        <f aca="false">$M$47*$N$37</f>
        <v>24.492677791197</v>
      </c>
      <c r="J56" s="156" t="n">
        <f aca="false">I56/1000</f>
        <v>0.024492677791197</v>
      </c>
      <c r="K56" s="157" t="n">
        <f aca="false">J56*(1/K47)</f>
        <v>6.12316944779926</v>
      </c>
      <c r="N56" s="158" t="n">
        <f aca="false">K56/$O$47</f>
        <v>2.35506517223049</v>
      </c>
      <c r="O56" s="158" t="n">
        <f aca="false">N56*$M$37</f>
        <v>9.23064188653224</v>
      </c>
      <c r="P56" s="158" t="n">
        <f aca="false">($M$30*$J$21)/O56</f>
        <v>6.36925048906119</v>
      </c>
    </row>
    <row r="57" customFormat="false" ht="12.8" hidden="false" customHeight="false" outlineLevel="0" collapsed="false">
      <c r="A57" s="71"/>
      <c r="B57" s="71"/>
      <c r="C57" s="71"/>
      <c r="D57" s="71"/>
      <c r="E57" s="71"/>
      <c r="F57" s="71"/>
      <c r="I57" s="160" t="n">
        <f aca="false">$M$45*$N$38</f>
        <v>0.807663098998635</v>
      </c>
      <c r="J57" s="161" t="n">
        <f aca="false">I57/1000</f>
        <v>0.000807663098998635</v>
      </c>
      <c r="K57" s="162" t="n">
        <f aca="false">J57*(1/K45)</f>
        <v>0.807663098998635</v>
      </c>
      <c r="N57" s="163" t="n">
        <f aca="false">K57/$O$45</f>
        <v>0.201915774749659</v>
      </c>
      <c r="O57" s="163" t="n">
        <f aca="false">N57*$M$38</f>
        <v>2.17176722306999</v>
      </c>
      <c r="P57" s="163" t="n">
        <f aca="false">($M$32*$J$24)/O57</f>
        <v>49.5256005252601</v>
      </c>
    </row>
    <row r="58" customFormat="false" ht="12.8" hidden="false" customHeight="false" outlineLevel="0" collapsed="false">
      <c r="A58" s="71"/>
      <c r="B58" s="71"/>
      <c r="C58" s="71"/>
      <c r="D58" s="71"/>
      <c r="E58" s="71"/>
      <c r="F58" s="71"/>
      <c r="I58" s="160" t="n">
        <f aca="false">$M$46*$N$38</f>
        <v>8.07663098998635</v>
      </c>
      <c r="J58" s="164" t="n">
        <f aca="false">I58/1000</f>
        <v>0.00807663098998635</v>
      </c>
      <c r="K58" s="162" t="n">
        <f aca="false">J58*(1/K46)</f>
        <v>8.07663098998635</v>
      </c>
      <c r="N58" s="163" t="n">
        <f aca="false">K58/$O$46</f>
        <v>0.568776830280729</v>
      </c>
      <c r="O58" s="163" t="n">
        <f aca="false">N58*$M$38</f>
        <v>6.11765414949294</v>
      </c>
      <c r="P58" s="163" t="n">
        <f aca="false">($M$32*$J$24)/O58</f>
        <v>17.5815881864673</v>
      </c>
    </row>
    <row r="59" customFormat="false" ht="12.8" hidden="false" customHeight="false" outlineLevel="0" collapsed="false">
      <c r="A59" s="71"/>
      <c r="B59" s="71"/>
      <c r="C59" s="71"/>
      <c r="D59" s="71"/>
      <c r="E59" s="71"/>
      <c r="F59" s="71"/>
      <c r="I59" s="160" t="n">
        <f aca="false">$M$47*$N$38</f>
        <v>8.07663098998635</v>
      </c>
      <c r="J59" s="161" t="n">
        <f aca="false">I59/1000</f>
        <v>0.00807663098998635</v>
      </c>
      <c r="K59" s="162" t="n">
        <f aca="false">J59*(1/K47)</f>
        <v>2.01915774749659</v>
      </c>
      <c r="N59" s="163" t="n">
        <f aca="false">K59/$O$47</f>
        <v>0.776599133652534</v>
      </c>
      <c r="O59" s="163" t="n">
        <f aca="false">N59*$M$38</f>
        <v>8.35295085796152</v>
      </c>
      <c r="P59" s="163" t="n">
        <f aca="false">($M$32*$J$24)/O59</f>
        <v>12.8766561365676</v>
      </c>
    </row>
    <row r="60" customFormat="false" ht="12.8" hidden="false" customHeight="false" outlineLevel="0" collapsed="false">
      <c r="A60" s="71"/>
      <c r="B60" s="71"/>
      <c r="C60" s="71"/>
      <c r="D60" s="71"/>
      <c r="E60" s="71"/>
      <c r="F60" s="71"/>
      <c r="I60" s="165" t="n">
        <f aca="false">$M$45*$N$39</f>
        <v>1.81724197274693</v>
      </c>
      <c r="J60" s="166" t="n">
        <f aca="false">I60/1000</f>
        <v>0.00181724197274693</v>
      </c>
      <c r="K60" s="167" t="n">
        <f aca="false">J60*(1/K45)</f>
        <v>1.81724197274693</v>
      </c>
      <c r="N60" s="168" t="n">
        <f aca="false">K60/$O$45</f>
        <v>0.454310493186732</v>
      </c>
      <c r="O60" s="168" t="n">
        <f aca="false">N60*$M$39</f>
        <v>3.25765083460499</v>
      </c>
      <c r="P60" s="168" t="n">
        <f aca="false">($M$32*$J$24)/O60</f>
        <v>33.0170670168401</v>
      </c>
    </row>
    <row r="61" customFormat="false" ht="12.8" hidden="false" customHeight="false" outlineLevel="0" collapsed="false">
      <c r="A61" s="71"/>
      <c r="B61" s="71"/>
      <c r="C61" s="71"/>
      <c r="D61" s="71"/>
      <c r="E61" s="71"/>
      <c r="F61" s="71"/>
      <c r="I61" s="165" t="n">
        <f aca="false">$M$46*$N$39</f>
        <v>18.1724197274693</v>
      </c>
      <c r="J61" s="169" t="n">
        <f aca="false">I61/1000</f>
        <v>0.0181724197274693</v>
      </c>
      <c r="K61" s="167" t="n">
        <f aca="false">J61*(1/K46)</f>
        <v>18.1724197274693</v>
      </c>
      <c r="N61" s="168" t="n">
        <f aca="false">K61/$O$46</f>
        <v>1.27974786813164</v>
      </c>
      <c r="O61" s="168" t="n">
        <f aca="false">N61*$M$39</f>
        <v>9.17648122423942</v>
      </c>
      <c r="P61" s="168" t="n">
        <f aca="false">($M$32*$J$24)/O61</f>
        <v>11.7210587909782</v>
      </c>
    </row>
    <row r="62" customFormat="false" ht="12.8" hidden="false" customHeight="false" outlineLevel="0" collapsed="false">
      <c r="A62" s="71"/>
      <c r="B62" s="71"/>
      <c r="C62" s="71"/>
      <c r="D62" s="71"/>
      <c r="E62" s="71"/>
      <c r="F62" s="71"/>
      <c r="I62" s="170" t="n">
        <f aca="false">$M$47*$N$39</f>
        <v>18.1724197274693</v>
      </c>
      <c r="J62" s="171" t="n">
        <f aca="false">I62/1000</f>
        <v>0.0181724197274693</v>
      </c>
      <c r="K62" s="172" t="n">
        <f aca="false">J62*(1/K47)</f>
        <v>4.54310493186732</v>
      </c>
      <c r="N62" s="173" t="n">
        <f aca="false">K62/$O$47</f>
        <v>1.7473480507182</v>
      </c>
      <c r="O62" s="173" t="n">
        <f aca="false">N62*$M$39</f>
        <v>12.5294262869423</v>
      </c>
      <c r="P62" s="173" t="n">
        <f aca="false">($M$32*$J$24)/O62</f>
        <v>8.58443742437841</v>
      </c>
    </row>
    <row r="63" customFormat="false" ht="12.8" hidden="false" customHeight="false" outlineLevel="0" collapsed="false">
      <c r="A63" s="71"/>
      <c r="B63" s="71"/>
      <c r="C63" s="71"/>
      <c r="D63" s="71"/>
      <c r="E63" s="71"/>
      <c r="F63" s="71"/>
    </row>
    <row r="64" customFormat="false" ht="12.8" hidden="false" customHeight="false" outlineLevel="0" collapsed="false">
      <c r="A64" s="71"/>
      <c r="B64" s="71"/>
      <c r="C64" s="71"/>
      <c r="D64" s="71"/>
      <c r="E64" s="71"/>
      <c r="F64" s="71"/>
      <c r="I64" s="75" t="s">
        <v>92</v>
      </c>
      <c r="J64" s="75"/>
      <c r="K64" s="75"/>
      <c r="L64" s="75"/>
      <c r="M64" s="75"/>
    </row>
    <row r="65" customFormat="false" ht="12.8" hidden="false" customHeight="false" outlineLevel="0" collapsed="false">
      <c r="A65" s="71"/>
      <c r="B65" s="71"/>
      <c r="C65" s="71"/>
      <c r="D65" s="71"/>
      <c r="E65" s="71"/>
      <c r="F65" s="71"/>
    </row>
    <row r="66" customFormat="false" ht="12.8" hidden="false" customHeight="false" outlineLevel="0" collapsed="false">
      <c r="A66" s="71"/>
      <c r="B66" s="71"/>
      <c r="C66" s="71"/>
      <c r="D66" s="71"/>
      <c r="E66" s="71"/>
      <c r="F66" s="71"/>
      <c r="I66" s="75" t="s">
        <v>93</v>
      </c>
      <c r="J66" s="75"/>
      <c r="K66" s="75"/>
      <c r="L66" s="75"/>
      <c r="M66" s="75"/>
    </row>
    <row r="67" customFormat="false" ht="12.8" hidden="false" customHeight="false" outlineLevel="0" collapsed="false">
      <c r="A67" s="71"/>
      <c r="B67" s="71"/>
      <c r="C67" s="71"/>
      <c r="D67" s="71"/>
      <c r="E67" s="71"/>
      <c r="F67" s="71"/>
      <c r="I67" s="75" t="s">
        <v>64</v>
      </c>
      <c r="K67" s="174" t="s">
        <v>94</v>
      </c>
      <c r="L67" s="174" t="s">
        <v>95</v>
      </c>
    </row>
    <row r="68" customFormat="false" ht="12.8" hidden="false" customHeight="false" outlineLevel="0" collapsed="false">
      <c r="A68" s="71"/>
      <c r="B68" s="71"/>
      <c r="C68" s="71"/>
      <c r="D68" s="71"/>
      <c r="E68" s="71"/>
      <c r="F68" s="71"/>
      <c r="I68" s="175" t="n">
        <v>500</v>
      </c>
      <c r="K68" s="176" t="n">
        <v>10</v>
      </c>
      <c r="L68" s="174" t="n">
        <f aca="false">(I68/1000)*K68</f>
        <v>5</v>
      </c>
    </row>
    <row r="69" customFormat="false" ht="12.8" hidden="false" customHeight="false" outlineLevel="0" collapsed="false">
      <c r="A69" s="71"/>
      <c r="B69" s="71"/>
      <c r="C69" s="71"/>
      <c r="D69" s="71"/>
      <c r="E69" s="71"/>
      <c r="F69" s="71"/>
      <c r="I69" s="110" t="s">
        <v>61</v>
      </c>
      <c r="J69" s="75" t="s">
        <v>64</v>
      </c>
      <c r="K69" s="75" t="s">
        <v>96</v>
      </c>
      <c r="L69" s="75" t="s">
        <v>97</v>
      </c>
      <c r="M69" s="23" t="s">
        <v>98</v>
      </c>
    </row>
    <row r="70" customFormat="false" ht="12.8" hidden="false" customHeight="false" outlineLevel="0" collapsed="false">
      <c r="A70" s="71"/>
      <c r="B70" s="71"/>
      <c r="C70" s="71"/>
      <c r="D70" s="71"/>
      <c r="E70" s="71"/>
      <c r="F70" s="71"/>
      <c r="I70" s="177" t="s">
        <v>43</v>
      </c>
      <c r="J70" s="178" t="n">
        <f aca="false">($J$21/M36)*$I$68</f>
        <v>147.699905584592</v>
      </c>
      <c r="K70" s="92" t="n">
        <f aca="false">$L$19/$L$21</f>
        <v>0.424202791305994</v>
      </c>
      <c r="L70" s="92" t="n">
        <f aca="false">J70*K70</f>
        <v>62.6547122246155</v>
      </c>
      <c r="M70" s="179" t="n">
        <f aca="false">L70*($O$3/1000)</f>
        <v>55.9552966997588</v>
      </c>
    </row>
    <row r="71" customFormat="false" ht="12.8" hidden="false" customHeight="false" outlineLevel="0" collapsed="false">
      <c r="A71" s="71"/>
      <c r="B71" s="71"/>
      <c r="C71" s="71"/>
      <c r="D71" s="71"/>
      <c r="E71" s="71"/>
      <c r="F71" s="71"/>
      <c r="I71" s="177" t="s">
        <v>44</v>
      </c>
      <c r="J71" s="178"/>
      <c r="K71" s="92" t="n">
        <f aca="false">$L$20/$L$21</f>
        <v>0.575797208694006</v>
      </c>
      <c r="L71" s="92" t="n">
        <f aca="false">J70*K71</f>
        <v>85.045193359976</v>
      </c>
      <c r="M71" s="179" t="n">
        <f aca="false">L71*($P$3/1000)</f>
        <v>107.15694363357</v>
      </c>
    </row>
    <row r="72" customFormat="false" ht="12.8" hidden="false" customHeight="false" outlineLevel="0" collapsed="false">
      <c r="A72" s="71"/>
      <c r="B72" s="71"/>
      <c r="C72" s="71"/>
      <c r="D72" s="71"/>
      <c r="E72" s="71"/>
      <c r="F72" s="71"/>
      <c r="I72" s="180" t="s">
        <v>43</v>
      </c>
      <c r="J72" s="125" t="n">
        <f aca="false">($J$21/M37)*$I$68</f>
        <v>221.549858376887</v>
      </c>
      <c r="K72" s="125" t="n">
        <f aca="false">$L$19/$L$21</f>
        <v>0.424202791305994</v>
      </c>
      <c r="L72" s="125" t="n">
        <f aca="false">J72*K72</f>
        <v>93.9820683369232</v>
      </c>
      <c r="M72" s="126" t="n">
        <f aca="false">L72*($O$3/1000)</f>
        <v>83.9329450496383</v>
      </c>
    </row>
    <row r="73" customFormat="false" ht="12.8" hidden="false" customHeight="false" outlineLevel="0" collapsed="false">
      <c r="A73" s="71"/>
      <c r="B73" s="71"/>
      <c r="C73" s="71"/>
      <c r="D73" s="71"/>
      <c r="E73" s="71"/>
      <c r="F73" s="71"/>
      <c r="I73" s="180" t="s">
        <v>44</v>
      </c>
      <c r="J73" s="125"/>
      <c r="K73" s="125" t="n">
        <f aca="false">$L$20/$L$21</f>
        <v>0.575797208694006</v>
      </c>
      <c r="L73" s="125" t="n">
        <f aca="false">J72*K73</f>
        <v>127.567790039964</v>
      </c>
      <c r="M73" s="126" t="n">
        <f aca="false">L73*($P$3/1000)</f>
        <v>160.735415450355</v>
      </c>
    </row>
    <row r="74" customFormat="false" ht="12.8" hidden="false" customHeight="false" outlineLevel="0" collapsed="false">
      <c r="A74" s="71"/>
      <c r="B74" s="71"/>
      <c r="C74" s="71"/>
      <c r="D74" s="71"/>
      <c r="E74" s="71"/>
      <c r="F74" s="71"/>
      <c r="I74" s="181" t="s">
        <v>43</v>
      </c>
      <c r="J74" s="182" t="n">
        <f aca="false">($J$24/M38)*$I$68</f>
        <v>109.585591919587</v>
      </c>
      <c r="K74" s="104" t="n">
        <f aca="false">$L$22/$L$24</f>
        <v>0.424202791305994</v>
      </c>
      <c r="L74" s="104" t="n">
        <f aca="false">J74*K74</f>
        <v>46.4865139792082</v>
      </c>
      <c r="M74" s="183" t="n">
        <f aca="false">L74*($O$3/1000)</f>
        <v>41.515898643329</v>
      </c>
    </row>
    <row r="75" customFormat="false" ht="12.8" hidden="false" customHeight="false" outlineLevel="0" collapsed="false">
      <c r="A75" s="71"/>
      <c r="B75" s="71"/>
      <c r="C75" s="71"/>
      <c r="D75" s="71"/>
      <c r="E75" s="71"/>
      <c r="F75" s="71"/>
      <c r="I75" s="181" t="s">
        <v>44</v>
      </c>
      <c r="J75" s="182"/>
      <c r="K75" s="104" t="n">
        <f aca="false">$L$23/$L$24</f>
        <v>0.575797208694006</v>
      </c>
      <c r="L75" s="104" t="n">
        <f aca="false">J74*K75</f>
        <v>63.0990779403783</v>
      </c>
      <c r="M75" s="183" t="n">
        <f aca="false">L75*($P$3/1000)</f>
        <v>79.5048382048767</v>
      </c>
    </row>
    <row r="76" customFormat="false" ht="12.8" hidden="false" customHeight="false" outlineLevel="0" collapsed="false">
      <c r="A76" s="71"/>
      <c r="B76" s="71"/>
      <c r="C76" s="71"/>
      <c r="D76" s="71"/>
      <c r="E76" s="71"/>
      <c r="F76" s="71"/>
      <c r="I76" s="184" t="s">
        <v>43</v>
      </c>
      <c r="J76" s="129" t="n">
        <f aca="false">($J$24/M39)*$I$68</f>
        <v>164.37838787938</v>
      </c>
      <c r="K76" s="185" t="n">
        <f aca="false">$L$22/$L$24</f>
        <v>0.424202791305994</v>
      </c>
      <c r="L76" s="185" t="n">
        <f aca="false">J76*K76</f>
        <v>69.7297709688123</v>
      </c>
      <c r="M76" s="186" t="n">
        <f aca="false">L76*($O$3/1000)</f>
        <v>62.2738479649934</v>
      </c>
    </row>
    <row r="77" customFormat="false" ht="12.8" hidden="false" customHeight="false" outlineLevel="0" collapsed="false">
      <c r="A77" s="71"/>
      <c r="B77" s="71"/>
      <c r="C77" s="71"/>
      <c r="D77" s="71"/>
      <c r="E77" s="71"/>
      <c r="F77" s="71"/>
      <c r="I77" s="187" t="s">
        <v>44</v>
      </c>
      <c r="J77" s="129"/>
      <c r="K77" s="129" t="n">
        <f aca="false">$L$23/$L$24</f>
        <v>0.575797208694006</v>
      </c>
      <c r="L77" s="129" t="n">
        <f aca="false">J76*K77</f>
        <v>94.6486169105675</v>
      </c>
      <c r="M77" s="130" t="n">
        <f aca="false">L77*($P$3/1000)</f>
        <v>119.257257307315</v>
      </c>
    </row>
    <row r="78" customFormat="false" ht="12.8" hidden="false" customHeight="false" outlineLevel="0" collapsed="false">
      <c r="A78" s="71"/>
      <c r="B78" s="71"/>
      <c r="C78" s="71"/>
      <c r="D78" s="71"/>
      <c r="E78" s="71"/>
      <c r="F78" s="71"/>
    </row>
    <row r="79" customFormat="false" ht="12.8" hidden="false" customHeight="false" outlineLevel="0" collapsed="false">
      <c r="A79" s="71"/>
      <c r="B79" s="71"/>
      <c r="C79" s="71"/>
      <c r="D79" s="71"/>
      <c r="E79" s="71"/>
      <c r="F79" s="71"/>
      <c r="I79" s="75" t="s">
        <v>99</v>
      </c>
      <c r="J79" s="75"/>
      <c r="K79" s="75"/>
      <c r="L79" s="75"/>
      <c r="M79" s="75"/>
    </row>
    <row r="80" customFormat="false" ht="12.8" hidden="false" customHeight="false" outlineLevel="0" collapsed="false">
      <c r="A80" s="71"/>
      <c r="B80" s="71"/>
      <c r="C80" s="71"/>
      <c r="D80" s="71"/>
      <c r="E80" s="71"/>
      <c r="F80" s="71"/>
      <c r="I80" s="75" t="s">
        <v>64</v>
      </c>
      <c r="J80" s="75" t="s">
        <v>100</v>
      </c>
      <c r="K80" s="60" t="s">
        <v>101</v>
      </c>
    </row>
    <row r="81" customFormat="false" ht="12.8" hidden="false" customHeight="false" outlineLevel="0" collapsed="false">
      <c r="A81" s="71"/>
      <c r="B81" s="71"/>
      <c r="C81" s="71"/>
      <c r="D81" s="71"/>
      <c r="E81" s="71"/>
      <c r="F81" s="71"/>
      <c r="I81" s="175" t="n">
        <v>500</v>
      </c>
      <c r="J81" s="188" t="n">
        <v>4</v>
      </c>
      <c r="K81" s="150" t="n">
        <f aca="false" t="array" ref="K81:K84">INDEX($O51:$O$62,_xlfn.SEQUENCE(4,,MATCH($J$81,$O$45:$O$47,0),3))</f>
        <v>1.59997792699892</v>
      </c>
    </row>
    <row r="82" customFormat="false" ht="12.8" hidden="false" customHeight="false" outlineLevel="0" collapsed="false">
      <c r="A82" s="71"/>
      <c r="B82" s="71"/>
      <c r="C82" s="71"/>
      <c r="D82" s="71"/>
      <c r="E82" s="71"/>
      <c r="F82" s="71"/>
      <c r="K82" s="158" t="n">
        <v>2.39996689049838</v>
      </c>
    </row>
    <row r="83" customFormat="false" ht="12.8" hidden="false" customHeight="false" outlineLevel="0" collapsed="false">
      <c r="A83" s="71"/>
      <c r="B83" s="71"/>
      <c r="C83" s="71"/>
      <c r="D83" s="71"/>
      <c r="E83" s="71"/>
      <c r="F83" s="71"/>
      <c r="I83" s="174" t="s">
        <v>94</v>
      </c>
      <c r="J83" s="174" t="s">
        <v>95</v>
      </c>
      <c r="K83" s="163" t="n">
        <v>2.17176722306999</v>
      </c>
    </row>
    <row r="84" customFormat="false" ht="12.8" hidden="false" customHeight="false" outlineLevel="0" collapsed="false">
      <c r="A84" s="71"/>
      <c r="B84" s="71"/>
      <c r="C84" s="71"/>
      <c r="D84" s="71"/>
      <c r="E84" s="71"/>
      <c r="F84" s="71"/>
      <c r="I84" s="176" t="n">
        <v>10</v>
      </c>
      <c r="J84" s="174" t="n">
        <f aca="false">(I81/1000)*I84</f>
        <v>5</v>
      </c>
      <c r="K84" s="173" t="n">
        <v>3.25765083460499</v>
      </c>
    </row>
    <row r="85" customFormat="false" ht="12.8" hidden="false" customHeight="false" outlineLevel="0" collapsed="false">
      <c r="A85" s="71"/>
      <c r="B85" s="71"/>
      <c r="C85" s="71"/>
      <c r="D85" s="71"/>
      <c r="E85" s="71"/>
      <c r="F85" s="71"/>
    </row>
    <row r="86" customFormat="false" ht="12.8" hidden="false" customHeight="false" outlineLevel="0" collapsed="false">
      <c r="A86" s="71"/>
      <c r="B86" s="71"/>
      <c r="C86" s="71"/>
      <c r="D86" s="71"/>
      <c r="E86" s="71"/>
      <c r="F86" s="71"/>
      <c r="I86" s="110" t="s">
        <v>61</v>
      </c>
      <c r="J86" s="75" t="s">
        <v>64</v>
      </c>
      <c r="K86" s="75" t="s">
        <v>96</v>
      </c>
      <c r="L86" s="75" t="s">
        <v>97</v>
      </c>
      <c r="M86" s="23" t="s">
        <v>98</v>
      </c>
    </row>
    <row r="87" customFormat="false" ht="12.8" hidden="false" customHeight="false" outlineLevel="0" collapsed="false">
      <c r="A87" s="71"/>
      <c r="B87" s="71"/>
      <c r="C87" s="71"/>
      <c r="D87" s="71"/>
      <c r="E87" s="71"/>
      <c r="F87" s="71"/>
      <c r="I87" s="177" t="s">
        <v>43</v>
      </c>
      <c r="J87" s="178" t="n">
        <f aca="false">($J$21/K81)*$I$81</f>
        <v>542.733286084012</v>
      </c>
      <c r="K87" s="92" t="n">
        <f aca="false">$L$19/$L$21</f>
        <v>0.424202791305994</v>
      </c>
      <c r="L87" s="92" t="n">
        <f aca="false">J87*K87</f>
        <v>230.228974891513</v>
      </c>
      <c r="M87" s="179" t="n">
        <f aca="false">L87*($O$3/1000)</f>
        <v>205.611519732983</v>
      </c>
    </row>
    <row r="88" customFormat="false" ht="12.8" hidden="false" customHeight="false" outlineLevel="0" collapsed="false">
      <c r="A88" s="71"/>
      <c r="B88" s="71"/>
      <c r="C88" s="71"/>
      <c r="D88" s="71"/>
      <c r="E88" s="71"/>
      <c r="F88" s="71"/>
      <c r="I88" s="177" t="s">
        <v>44</v>
      </c>
      <c r="J88" s="178"/>
      <c r="K88" s="92" t="n">
        <f aca="false">$L$20/$L$21</f>
        <v>0.575797208694006</v>
      </c>
      <c r="L88" s="92" t="n">
        <f aca="false">J87*K88</f>
        <v>312.5043111925</v>
      </c>
      <c r="M88" s="179" t="n">
        <f aca="false">L88*($P$3/1000)</f>
        <v>393.75543210255</v>
      </c>
    </row>
    <row r="89" customFormat="false" ht="12.8" hidden="false" customHeight="false" outlineLevel="0" collapsed="false">
      <c r="A89" s="71"/>
      <c r="B89" s="71"/>
      <c r="C89" s="71"/>
      <c r="D89" s="71"/>
      <c r="E89" s="71"/>
      <c r="F89" s="71"/>
      <c r="I89" s="180" t="s">
        <v>43</v>
      </c>
      <c r="J89" s="125" t="n">
        <f aca="false">($J$21/K82)*$I$81</f>
        <v>361.822190722675</v>
      </c>
      <c r="K89" s="125" t="n">
        <f aca="false">$L$19/$L$21</f>
        <v>0.424202791305994</v>
      </c>
      <c r="L89" s="125" t="n">
        <f aca="false">J89*K89</f>
        <v>153.485983261008</v>
      </c>
      <c r="M89" s="126" t="n">
        <f aca="false">L89*($O$3/1000)</f>
        <v>137.074346488656</v>
      </c>
    </row>
    <row r="90" customFormat="false" ht="12.8" hidden="false" customHeight="false" outlineLevel="0" collapsed="false">
      <c r="A90" s="71"/>
      <c r="B90" s="71"/>
      <c r="C90" s="71"/>
      <c r="D90" s="71"/>
      <c r="E90" s="71"/>
      <c r="F90" s="71"/>
      <c r="I90" s="180" t="s">
        <v>44</v>
      </c>
      <c r="J90" s="125"/>
      <c r="K90" s="125" t="n">
        <f aca="false">$L$20/$L$21</f>
        <v>0.575797208694006</v>
      </c>
      <c r="L90" s="125" t="n">
        <f aca="false">J89*K90</f>
        <v>208.336207461667</v>
      </c>
      <c r="M90" s="126" t="n">
        <f aca="false">L90*($P$3/1000)</f>
        <v>262.5036214017</v>
      </c>
    </row>
    <row r="91" customFormat="false" ht="12.8" hidden="false" customHeight="false" outlineLevel="0" collapsed="false">
      <c r="A91" s="71"/>
      <c r="B91" s="71"/>
      <c r="C91" s="71"/>
      <c r="D91" s="71"/>
      <c r="E91" s="71"/>
      <c r="F91" s="71"/>
      <c r="I91" s="181" t="s">
        <v>43</v>
      </c>
      <c r="J91" s="182" t="n">
        <f aca="false">($J$24/K83)*$I$81</f>
        <v>542.729224873362</v>
      </c>
      <c r="K91" s="104" t="n">
        <f aca="false">$L$22/$L$24</f>
        <v>0.424202791305994</v>
      </c>
      <c r="L91" s="104" t="n">
        <f aca="false">J91*K91</f>
        <v>230.227252114619</v>
      </c>
      <c r="M91" s="183" t="n">
        <f aca="false">L91*($O$3/1000)</f>
        <v>205.60998116567</v>
      </c>
    </row>
    <row r="92" customFormat="false" ht="12.8" hidden="false" customHeight="false" outlineLevel="0" collapsed="false">
      <c r="A92" s="71"/>
      <c r="B92" s="71"/>
      <c r="C92" s="71"/>
      <c r="D92" s="71"/>
      <c r="E92" s="71"/>
      <c r="F92" s="71"/>
      <c r="I92" s="181" t="s">
        <v>44</v>
      </c>
      <c r="J92" s="182"/>
      <c r="K92" s="104" t="n">
        <f aca="false">$L$23/$L$24</f>
        <v>0.575797208694006</v>
      </c>
      <c r="L92" s="104" t="n">
        <f aca="false">J91*K92</f>
        <v>312.501972758743</v>
      </c>
      <c r="M92" s="183" t="n">
        <f aca="false">L92*($P$3/1000)</f>
        <v>393.752485676017</v>
      </c>
    </row>
    <row r="93" customFormat="false" ht="12.8" hidden="false" customHeight="false" outlineLevel="0" collapsed="false">
      <c r="A93" s="71"/>
      <c r="B93" s="71"/>
      <c r="C93" s="71"/>
      <c r="D93" s="71"/>
      <c r="E93" s="71"/>
      <c r="F93" s="71"/>
      <c r="I93" s="184" t="s">
        <v>43</v>
      </c>
      <c r="J93" s="129" t="n">
        <f aca="false">($J$24/K84)*$I$81</f>
        <v>361.819483248908</v>
      </c>
      <c r="K93" s="185" t="n">
        <f aca="false">$L$22/$L$24</f>
        <v>0.424202791305994</v>
      </c>
      <c r="L93" s="185" t="n">
        <f aca="false">J93*K93</f>
        <v>153.484834743079</v>
      </c>
      <c r="M93" s="186" t="n">
        <f aca="false">L93*($O$3/1000)</f>
        <v>137.073320777113</v>
      </c>
    </row>
    <row r="94" customFormat="false" ht="12.8" hidden="false" customHeight="false" outlineLevel="0" collapsed="false">
      <c r="A94" s="71"/>
      <c r="B94" s="71"/>
      <c r="C94" s="71"/>
      <c r="D94" s="71"/>
      <c r="E94" s="71"/>
      <c r="F94" s="71"/>
      <c r="I94" s="187" t="s">
        <v>44</v>
      </c>
      <c r="J94" s="129"/>
      <c r="K94" s="129" t="n">
        <f aca="false">$L$23/$L$24</f>
        <v>0.575797208694006</v>
      </c>
      <c r="L94" s="129" t="n">
        <f aca="false">J93*K94</f>
        <v>208.334648505829</v>
      </c>
      <c r="M94" s="130" t="n">
        <f aca="false">L94*($P$3/1000)</f>
        <v>262.501657117344</v>
      </c>
    </row>
    <row r="95" customFormat="false" ht="12.8" hidden="false" customHeight="false" outlineLevel="0" collapsed="false">
      <c r="A95" s="71"/>
      <c r="B95" s="71"/>
      <c r="C95" s="71"/>
      <c r="D95" s="71"/>
      <c r="E95" s="71"/>
      <c r="F95" s="71"/>
    </row>
    <row r="96" customFormat="false" ht="12.8" hidden="false" customHeight="false" outlineLevel="0" collapsed="false">
      <c r="A96" s="71"/>
      <c r="B96" s="71"/>
      <c r="C96" s="71"/>
      <c r="D96" s="71"/>
      <c r="E96" s="71"/>
      <c r="F96" s="71"/>
    </row>
    <row r="97" customFormat="false" ht="12.8" hidden="false" customHeight="false" outlineLevel="0" collapsed="false">
      <c r="A97" s="71"/>
      <c r="B97" s="71"/>
      <c r="C97" s="71"/>
      <c r="D97" s="71"/>
      <c r="E97" s="71"/>
      <c r="F97" s="71"/>
    </row>
    <row r="98" customFormat="false" ht="12.8" hidden="false" customHeight="false" outlineLevel="0" collapsed="false">
      <c r="A98" s="71"/>
      <c r="B98" s="71"/>
      <c r="C98" s="71"/>
      <c r="D98" s="71"/>
      <c r="E98" s="71"/>
      <c r="F98" s="71"/>
    </row>
    <row r="99" customFormat="false" ht="12.8" hidden="false" customHeight="false" outlineLevel="0" collapsed="false">
      <c r="A99" s="71"/>
      <c r="B99" s="71"/>
      <c r="C99" s="71"/>
      <c r="D99" s="71"/>
      <c r="E99" s="71"/>
      <c r="F99" s="71"/>
    </row>
    <row r="100" customFormat="false" ht="12.8" hidden="false" customHeight="false" outlineLevel="0" collapsed="false">
      <c r="A100" s="189"/>
      <c r="B100" s="189"/>
      <c r="C100" s="189"/>
      <c r="D100" s="189"/>
      <c r="E100" s="189"/>
      <c r="F100" s="189"/>
    </row>
  </sheetData>
  <mergeCells count="41">
    <mergeCell ref="I10:P10"/>
    <mergeCell ref="I12:J12"/>
    <mergeCell ref="M18:N18"/>
    <mergeCell ref="O18:P18"/>
    <mergeCell ref="M19:N19"/>
    <mergeCell ref="O19:P19"/>
    <mergeCell ref="M20:N20"/>
    <mergeCell ref="O20:P20"/>
    <mergeCell ref="M21:N21"/>
    <mergeCell ref="O21:P21"/>
    <mergeCell ref="M22:N22"/>
    <mergeCell ref="O22:P22"/>
    <mergeCell ref="M23:N23"/>
    <mergeCell ref="O23:P23"/>
    <mergeCell ref="M24:N24"/>
    <mergeCell ref="O24:P24"/>
    <mergeCell ref="I27:P27"/>
    <mergeCell ref="K30:K31"/>
    <mergeCell ref="L30:L31"/>
    <mergeCell ref="M30:M31"/>
    <mergeCell ref="N30:N31"/>
    <mergeCell ref="O30:O31"/>
    <mergeCell ref="P30:P31"/>
    <mergeCell ref="K32:K33"/>
    <mergeCell ref="L32:L33"/>
    <mergeCell ref="M32:M33"/>
    <mergeCell ref="N32:N33"/>
    <mergeCell ref="O32:O33"/>
    <mergeCell ref="P32:P33"/>
    <mergeCell ref="I42:P42"/>
    <mergeCell ref="I64:M64"/>
    <mergeCell ref="I66:M66"/>
    <mergeCell ref="J70:J71"/>
    <mergeCell ref="J72:J73"/>
    <mergeCell ref="J74:J75"/>
    <mergeCell ref="J76:J77"/>
    <mergeCell ref="I79:M79"/>
    <mergeCell ref="J87:J88"/>
    <mergeCell ref="J89:J90"/>
    <mergeCell ref="J91:J92"/>
    <mergeCell ref="J93:J94"/>
  </mergeCells>
  <dataValidations count="2">
    <dataValidation allowBlank="true" errorStyle="stop" operator="equal" showDropDown="false" showErrorMessage="true" showInputMessage="false" sqref="J2:K2" type="list">
      <formula1>COV!$A$2:$A$100</formula1>
      <formula2>0</formula2>
    </dataValidation>
    <dataValidation allowBlank="true" errorStyle="stop" operator="equal" showDropDown="false" showErrorMessage="true" showInputMessage="false" sqref="J81" type="list">
      <formula1>COV!$O$45:$O$47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83"/>
  <sheetViews>
    <sheetView showFormulas="false" showGridLines="true" showRowColHeaders="true" showZeros="true" rightToLeft="false" tabSelected="false" showOutlineSymbols="true" defaultGridColor="true" view="normal" topLeftCell="E1" colorId="64" zoomScale="100" zoomScaleNormal="100" zoomScalePageLayoutView="100" workbookViewId="0">
      <selection pane="topLeft" activeCell="M16" activeCellId="0" sqref="M16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" min="1" style="50" width="11.53"/>
    <col collapsed="false" customWidth="true" hidden="false" outlineLevel="0" max="2" min="2" style="50" width="15.76"/>
    <col collapsed="false" customWidth="false" hidden="false" outlineLevel="0" max="5" min="3" style="50" width="11.53"/>
    <col collapsed="false" customWidth="true" hidden="false" outlineLevel="0" max="6" min="6" style="50" width="11.12"/>
    <col collapsed="false" customWidth="true" hidden="false" outlineLevel="0" max="9" min="9" style="0" width="17.01"/>
    <col collapsed="false" customWidth="true" hidden="false" outlineLevel="0" max="10" min="10" style="0" width="18.08"/>
    <col collapsed="false" customWidth="true" hidden="false" outlineLevel="0" max="11" min="11" style="0" width="18.54"/>
    <col collapsed="false" customWidth="true" hidden="false" outlineLevel="0" max="12" min="12" style="0" width="21.6"/>
    <col collapsed="false" customWidth="true" hidden="false" outlineLevel="0" max="13" min="13" style="0" width="16.27"/>
    <col collapsed="false" customWidth="true" hidden="false" outlineLevel="0" max="14" min="14" style="0" width="21.6"/>
    <col collapsed="false" customWidth="true" hidden="false" outlineLevel="0" max="15" min="15" style="0" width="15.58"/>
    <col collapsed="false" customWidth="true" hidden="false" outlineLevel="0" max="16" min="16" style="0" width="18.22"/>
    <col collapsed="false" customWidth="true" hidden="false" outlineLevel="0" max="17" min="17" style="0" width="14.19"/>
  </cols>
  <sheetData>
    <row r="1" customFormat="false" ht="12.8" hidden="false" customHeight="false" outlineLevel="0" collapsed="false">
      <c r="A1" s="51" t="s">
        <v>39</v>
      </c>
      <c r="B1" s="51" t="s">
        <v>40</v>
      </c>
      <c r="C1" s="51" t="s">
        <v>41</v>
      </c>
      <c r="D1" s="51" t="s">
        <v>42</v>
      </c>
      <c r="E1" s="51" t="s">
        <v>17</v>
      </c>
      <c r="F1" s="51" t="s">
        <v>22</v>
      </c>
      <c r="I1" s="52"/>
      <c r="J1" s="53" t="s">
        <v>43</v>
      </c>
      <c r="K1" s="54" t="s">
        <v>44</v>
      </c>
      <c r="L1" s="14" t="s">
        <v>102</v>
      </c>
      <c r="M1" s="55"/>
      <c r="N1" s="52"/>
      <c r="O1" s="53" t="s">
        <v>43</v>
      </c>
      <c r="P1" s="54" t="s">
        <v>44</v>
      </c>
      <c r="Q1" s="14" t="s">
        <v>44</v>
      </c>
    </row>
    <row r="2" customFormat="false" ht="12.8" hidden="false" customHeight="false" outlineLevel="0" collapsed="false">
      <c r="A2" s="56" t="s">
        <v>10</v>
      </c>
      <c r="B2" s="57" t="n">
        <f aca="false">Caracterizacao!J3</f>
        <v>1068.43760252525</v>
      </c>
      <c r="C2" s="56" t="n">
        <f aca="false">Caracterizacao!I28/1000</f>
        <v>1.7786</v>
      </c>
      <c r="D2" s="58" t="n">
        <f aca="false">Caracterizacao!M28/1000</f>
        <v>0.28176</v>
      </c>
      <c r="E2" s="59" t="n">
        <f aca="false">Caracterizacao!I14</f>
        <v>536.39975270356</v>
      </c>
      <c r="F2" s="57" t="n">
        <f aca="false">Caracterizacao!N14</f>
        <v>520.806779510477</v>
      </c>
      <c r="I2" s="60" t="s">
        <v>39</v>
      </c>
      <c r="J2" s="61" t="s">
        <v>10</v>
      </c>
      <c r="K2" s="62" t="s">
        <v>45</v>
      </c>
      <c r="L2" s="190" t="s">
        <v>46</v>
      </c>
      <c r="M2" s="63"/>
      <c r="N2" s="60" t="s">
        <v>47</v>
      </c>
      <c r="O2" s="64" t="n">
        <v>1</v>
      </c>
      <c r="P2" s="65" t="n">
        <v>1</v>
      </c>
      <c r="Q2" s="191" t="n">
        <v>100</v>
      </c>
    </row>
    <row r="3" customFormat="false" ht="12.8" hidden="false" customHeight="false" outlineLevel="0" collapsed="false">
      <c r="A3" s="66" t="s">
        <v>45</v>
      </c>
      <c r="B3" s="67" t="n">
        <f aca="false">Caracterizacao!J5</f>
        <v>893.074035663281</v>
      </c>
      <c r="C3" s="66" t="n">
        <f aca="false">Caracterizacao!I30/1000</f>
        <v>5.5232</v>
      </c>
      <c r="D3" s="66" t="n">
        <f aca="false">Caracterizacao!M30/1000</f>
        <v>0.4886</v>
      </c>
      <c r="E3" s="67" t="n">
        <f aca="false">Caracterizacao!I17</f>
        <v>867.723994290837</v>
      </c>
      <c r="F3" s="67" t="n">
        <f aca="false">Caracterizacao!N17</f>
        <v>868.654816122481</v>
      </c>
      <c r="I3" s="68" t="s">
        <v>40</v>
      </c>
      <c r="J3" s="69" t="n">
        <f aca="false">INDEX($B$2:$B$100,MATCH($J$2,$A$2:$A$100,0))</f>
        <v>1068.43760252525</v>
      </c>
      <c r="K3" s="70" t="n">
        <f aca="false">INDEX($B$2:$B$100,MATCH($K$2,$A$2:$A$100,0))</f>
        <v>893.074035663281</v>
      </c>
      <c r="L3" s="192" t="n">
        <f aca="false">INDEX($B$2:$B$100,MATCH($L$2,$A$2:$A$100,0))</f>
        <v>1260</v>
      </c>
      <c r="M3" s="63"/>
      <c r="N3" s="68" t="s">
        <v>48</v>
      </c>
      <c r="O3" s="69" t="n">
        <f aca="false">J3</f>
        <v>1068.43760252525</v>
      </c>
      <c r="P3" s="70" t="n">
        <f aca="false">K3</f>
        <v>893.074035663281</v>
      </c>
      <c r="Q3" s="192" t="n">
        <f aca="false">L3</f>
        <v>1260</v>
      </c>
    </row>
    <row r="4" customFormat="false" ht="12.8" hidden="false" customHeight="false" outlineLevel="0" collapsed="false">
      <c r="A4" s="71" t="s">
        <v>46</v>
      </c>
      <c r="B4" s="71" t="n">
        <v>1260</v>
      </c>
      <c r="C4" s="71" t="n">
        <v>493</v>
      </c>
      <c r="D4" s="71" t="n">
        <v>0</v>
      </c>
      <c r="E4" s="71" t="n">
        <v>1000</v>
      </c>
      <c r="F4" s="71" t="n">
        <v>1000</v>
      </c>
      <c r="I4" s="68" t="s">
        <v>41</v>
      </c>
      <c r="J4" s="69" t="n">
        <f aca="false">INDEX($C$2:$C$100,MATCH($J$2,$A$2:$A$100,0))</f>
        <v>1.7786</v>
      </c>
      <c r="K4" s="70" t="n">
        <f aca="false">INDEX($C$2:$C$100,MATCH($K$2,$A$2:$A$100,0))</f>
        <v>5.5232</v>
      </c>
      <c r="L4" s="192" t="n">
        <f aca="false">INDEX($C$2:$C$100,MATCH($L$2,$A$2:$A$100,0))</f>
        <v>493</v>
      </c>
      <c r="M4" s="63"/>
      <c r="N4" s="68" t="s">
        <v>49</v>
      </c>
      <c r="O4" s="69" t="n">
        <f aca="false">J4/$O$2</f>
        <v>1.7786</v>
      </c>
      <c r="P4" s="70" t="n">
        <f aca="false">K4/$P$2</f>
        <v>5.5232</v>
      </c>
      <c r="Q4" s="192" t="n">
        <f aca="false">L4/$Q$2</f>
        <v>4.93</v>
      </c>
    </row>
    <row r="5" customFormat="false" ht="12.8" hidden="false" customHeight="false" outlineLevel="0" collapsed="false">
      <c r="A5" s="71" t="s">
        <v>50</v>
      </c>
      <c r="B5" s="71" t="n">
        <v>1540</v>
      </c>
      <c r="C5" s="71" t="n">
        <v>616</v>
      </c>
      <c r="D5" s="71" t="n">
        <v>0</v>
      </c>
      <c r="E5" s="71" t="n">
        <v>1540</v>
      </c>
      <c r="F5" s="71" t="n">
        <v>1540</v>
      </c>
      <c r="I5" s="68" t="s">
        <v>42</v>
      </c>
      <c r="J5" s="69" t="n">
        <f aca="false">INDEX($D$2:$D$100,MATCH($J$2,$A$2:$A$100,0))</f>
        <v>0.28176</v>
      </c>
      <c r="K5" s="70" t="n">
        <f aca="false">INDEX($D$2:$D$100,MATCH($K$2,$A$2:$A$100,0))</f>
        <v>0.4886</v>
      </c>
      <c r="L5" s="192" t="n">
        <f aca="false">INDEX($D$2:$D$100,MATCH($L$2,$A$2:$A$100,0))</f>
        <v>0</v>
      </c>
      <c r="N5" s="68" t="s">
        <v>51</v>
      </c>
      <c r="O5" s="69" t="n">
        <f aca="false">J5/$O$2</f>
        <v>0.28176</v>
      </c>
      <c r="P5" s="70" t="n">
        <f aca="false">K5/$P$2</f>
        <v>0.4886</v>
      </c>
      <c r="Q5" s="192" t="n">
        <f aca="false">L5/$Q$2</f>
        <v>0</v>
      </c>
    </row>
    <row r="6" customFormat="false" ht="12.8" hidden="false" customHeight="false" outlineLevel="0" collapsed="false">
      <c r="A6" s="71"/>
      <c r="B6" s="71"/>
      <c r="C6" s="71"/>
      <c r="D6" s="71"/>
      <c r="E6" s="71"/>
      <c r="F6" s="71"/>
      <c r="I6" s="68" t="s">
        <v>17</v>
      </c>
      <c r="J6" s="69" t="n">
        <f aca="false">INDEX($E$2:$E$100,MATCH($J$2,$A$2:$A$100,0))</f>
        <v>536.39975270356</v>
      </c>
      <c r="K6" s="70" t="n">
        <f aca="false">INDEX($E$2:$E$100,MATCH($K$2,$A$2:$A$100,0))</f>
        <v>867.723994290837</v>
      </c>
      <c r="L6" s="192" t="n">
        <f aca="false">INDEX($E$2:$E$100,MATCH($L$2,$A$2:$A$100,0))</f>
        <v>1000</v>
      </c>
      <c r="N6" s="68" t="s">
        <v>52</v>
      </c>
      <c r="O6" s="69" t="n">
        <f aca="false">J6/$O$2</f>
        <v>536.39975270356</v>
      </c>
      <c r="P6" s="70" t="n">
        <f aca="false">K6/$P$2</f>
        <v>867.723994290837</v>
      </c>
      <c r="Q6" s="192" t="n">
        <f aca="false">L6/$Q$2</f>
        <v>10</v>
      </c>
    </row>
    <row r="7" customFormat="false" ht="12.8" hidden="false" customHeight="false" outlineLevel="0" collapsed="false">
      <c r="A7" s="71"/>
      <c r="B7" s="71"/>
      <c r="C7" s="71"/>
      <c r="D7" s="71"/>
      <c r="E7" s="71"/>
      <c r="F7" s="71"/>
      <c r="I7" s="72" t="s">
        <v>22</v>
      </c>
      <c r="J7" s="73" t="n">
        <f aca="false">INDEX($F$2:$F$100,MATCH($J$2,$A$2:$A$100,0))</f>
        <v>520.806779510477</v>
      </c>
      <c r="K7" s="74" t="n">
        <f aca="false">INDEX($F$2:$F$100,MATCH($K$2,$A$2:$A$100,0))</f>
        <v>868.654816122481</v>
      </c>
      <c r="L7" s="193" t="n">
        <f aca="false">INDEX($F$2:$F$100,MATCH($L$2,$A$2:$A$100,0))</f>
        <v>1000</v>
      </c>
      <c r="N7" s="72" t="s">
        <v>53</v>
      </c>
      <c r="O7" s="73" t="n">
        <f aca="false">J7/$O$2</f>
        <v>520.806779510477</v>
      </c>
      <c r="P7" s="74" t="n">
        <f aca="false">K7/$P$2</f>
        <v>868.654816122481</v>
      </c>
      <c r="Q7" s="192" t="n">
        <f aca="false">L7/$Q$2</f>
        <v>10</v>
      </c>
    </row>
    <row r="8" customFormat="false" ht="12.8" hidden="false" customHeight="false" outlineLevel="0" collapsed="false">
      <c r="A8" s="71"/>
      <c r="B8" s="71"/>
      <c r="C8" s="71"/>
      <c r="D8" s="71"/>
      <c r="E8" s="71"/>
      <c r="F8" s="71"/>
    </row>
    <row r="9" customFormat="false" ht="12.8" hidden="false" customHeight="false" outlineLevel="0" collapsed="false">
      <c r="A9" s="71"/>
      <c r="B9" s="71"/>
      <c r="C9" s="71"/>
      <c r="D9" s="71"/>
      <c r="E9" s="71"/>
      <c r="F9" s="71"/>
    </row>
    <row r="10" customFormat="false" ht="12.8" hidden="false" customHeight="false" outlineLevel="0" collapsed="false">
      <c r="A10" s="71"/>
      <c r="B10" s="71"/>
      <c r="C10" s="71"/>
      <c r="D10" s="71"/>
      <c r="E10" s="71"/>
      <c r="F10" s="71"/>
      <c r="I10" s="75" t="s">
        <v>54</v>
      </c>
      <c r="J10" s="75"/>
      <c r="K10" s="75"/>
      <c r="L10" s="75"/>
      <c r="M10" s="75"/>
      <c r="N10" s="75"/>
      <c r="O10" s="75"/>
    </row>
    <row r="11" customFormat="false" ht="12.8" hidden="false" customHeight="false" outlineLevel="0" collapsed="false">
      <c r="A11" s="71"/>
      <c r="B11" s="71"/>
      <c r="C11" s="71"/>
      <c r="D11" s="71"/>
      <c r="E11" s="71"/>
      <c r="F11" s="71"/>
    </row>
    <row r="12" customFormat="false" ht="12.8" hidden="false" customHeight="false" outlineLevel="0" collapsed="false">
      <c r="A12" s="71"/>
      <c r="B12" s="71"/>
      <c r="C12" s="71"/>
      <c r="D12" s="71"/>
      <c r="E12" s="71"/>
      <c r="F12" s="71"/>
      <c r="I12" s="2" t="s">
        <v>55</v>
      </c>
      <c r="J12" s="2"/>
      <c r="L12" s="110" t="s">
        <v>61</v>
      </c>
      <c r="M12" s="75" t="s">
        <v>62</v>
      </c>
      <c r="N12" s="75" t="s">
        <v>103</v>
      </c>
      <c r="O12" s="23" t="s">
        <v>104</v>
      </c>
    </row>
    <row r="13" customFormat="false" ht="12.8" hidden="false" customHeight="false" outlineLevel="0" collapsed="false">
      <c r="A13" s="71"/>
      <c r="B13" s="71"/>
      <c r="C13" s="71"/>
      <c r="D13" s="71"/>
      <c r="E13" s="71"/>
      <c r="F13" s="71"/>
      <c r="I13" s="76" t="s">
        <v>56</v>
      </c>
      <c r="J13" s="77" t="n">
        <v>25</v>
      </c>
      <c r="L13" s="78" t="s">
        <v>43</v>
      </c>
      <c r="M13" s="194" t="n">
        <v>1</v>
      </c>
      <c r="N13" s="195" t="n">
        <f aca="false">O$4-($J$15*O$5)</f>
        <v>-5.2654</v>
      </c>
      <c r="O13" s="196" t="n">
        <f aca="false">N13*M13</f>
        <v>-5.2654</v>
      </c>
    </row>
    <row r="14" customFormat="false" ht="12.8" hidden="false" customHeight="false" outlineLevel="0" collapsed="false">
      <c r="A14" s="71"/>
      <c r="B14" s="71"/>
      <c r="C14" s="71"/>
      <c r="D14" s="71"/>
      <c r="E14" s="71"/>
      <c r="F14" s="71"/>
      <c r="I14" s="78" t="s">
        <v>57</v>
      </c>
      <c r="J14" s="79" t="n">
        <v>1</v>
      </c>
      <c r="L14" s="78" t="s">
        <v>44</v>
      </c>
      <c r="M14" s="194" t="n">
        <v>1</v>
      </c>
      <c r="N14" s="195" t="n">
        <f aca="false">P$4-($J$15*P$5)</f>
        <v>-6.6918</v>
      </c>
      <c r="O14" s="196" t="n">
        <f aca="false">N14*M14</f>
        <v>-6.6918</v>
      </c>
    </row>
    <row r="15" customFormat="false" ht="12.8" hidden="false" customHeight="true" outlineLevel="0" collapsed="false">
      <c r="A15" s="71"/>
      <c r="B15" s="71"/>
      <c r="C15" s="71"/>
      <c r="D15" s="71"/>
      <c r="E15" s="71"/>
      <c r="F15" s="71"/>
      <c r="I15" s="81" t="s">
        <v>59</v>
      </c>
      <c r="J15" s="82" t="n">
        <f aca="false">J13/J14</f>
        <v>25</v>
      </c>
      <c r="L15" s="81" t="s">
        <v>102</v>
      </c>
      <c r="M15" s="197" t="n">
        <v>1</v>
      </c>
      <c r="N15" s="198" t="n">
        <f aca="false">Q$4-($J$15*Q$5)</f>
        <v>4.93</v>
      </c>
      <c r="O15" s="199" t="n">
        <f aca="false">N15*M15</f>
        <v>4.93</v>
      </c>
    </row>
    <row r="16" customFormat="false" ht="12.8" hidden="false" customHeight="false" outlineLevel="0" collapsed="false">
      <c r="A16" s="71"/>
      <c r="B16" s="71"/>
      <c r="C16" s="71"/>
      <c r="D16" s="71"/>
      <c r="E16" s="71"/>
      <c r="F16" s="71"/>
    </row>
    <row r="17" customFormat="false" ht="12.8" hidden="false" customHeight="false" outlineLevel="0" collapsed="false">
      <c r="A17" s="71"/>
      <c r="B17" s="71"/>
      <c r="C17" s="71"/>
      <c r="D17" s="71"/>
      <c r="E17" s="71"/>
      <c r="F17" s="71"/>
    </row>
    <row r="18" customFormat="false" ht="12.8" hidden="false" customHeight="false" outlineLevel="0" collapsed="false">
      <c r="A18" s="71"/>
      <c r="B18" s="71"/>
      <c r="C18" s="71"/>
      <c r="D18" s="71"/>
      <c r="E18" s="71"/>
      <c r="F18" s="71"/>
      <c r="I18" s="110" t="s">
        <v>61</v>
      </c>
      <c r="J18" s="75" t="s">
        <v>62</v>
      </c>
      <c r="K18" s="75" t="s">
        <v>64</v>
      </c>
      <c r="L18" s="200" t="s">
        <v>65</v>
      </c>
      <c r="M18" s="200"/>
      <c r="N18" s="201" t="s">
        <v>66</v>
      </c>
      <c r="O18" s="201"/>
    </row>
    <row r="19" customFormat="false" ht="12.8" hidden="false" customHeight="false" outlineLevel="0" collapsed="false">
      <c r="A19" s="71"/>
      <c r="B19" s="71"/>
      <c r="C19" s="71"/>
      <c r="D19" s="71"/>
      <c r="E19" s="71"/>
      <c r="F19" s="71"/>
      <c r="I19" s="202" t="s">
        <v>43</v>
      </c>
      <c r="J19" s="203" t="n">
        <f aca="false">$M$13</f>
        <v>1</v>
      </c>
      <c r="K19" s="203" t="n">
        <f aca="false">$J19*1000</f>
        <v>1000</v>
      </c>
      <c r="L19" s="203" t="n">
        <f aca="false">$J19*$O$4</f>
        <v>1.7786</v>
      </c>
      <c r="M19" s="203"/>
      <c r="N19" s="204" t="n">
        <f aca="false">$L19/$J19</f>
        <v>1.7786</v>
      </c>
      <c r="O19" s="204"/>
    </row>
    <row r="20" customFormat="false" ht="12.8" hidden="false" customHeight="false" outlineLevel="0" collapsed="false">
      <c r="A20" s="71"/>
      <c r="B20" s="71"/>
      <c r="C20" s="71"/>
      <c r="D20" s="71"/>
      <c r="E20" s="71"/>
      <c r="F20" s="71"/>
      <c r="I20" s="202" t="s">
        <v>44</v>
      </c>
      <c r="J20" s="203" t="n">
        <f aca="false">$M$14</f>
        <v>1</v>
      </c>
      <c r="K20" s="203" t="n">
        <f aca="false">$J20*1000</f>
        <v>1000</v>
      </c>
      <c r="L20" s="203" t="n">
        <f aca="false">$J20*$P$4</f>
        <v>5.5232</v>
      </c>
      <c r="M20" s="203"/>
      <c r="N20" s="204" t="n">
        <f aca="false">$L20/$J20</f>
        <v>5.5232</v>
      </c>
      <c r="O20" s="204"/>
    </row>
    <row r="21" customFormat="false" ht="12.8" hidden="false" customHeight="false" outlineLevel="0" collapsed="false">
      <c r="A21" s="71"/>
      <c r="B21" s="71"/>
      <c r="C21" s="71"/>
      <c r="D21" s="71"/>
      <c r="E21" s="71"/>
      <c r="F21" s="71"/>
      <c r="I21" s="202" t="s">
        <v>102</v>
      </c>
      <c r="J21" s="203" t="n">
        <f aca="false">($O$13-$O$14)/$N$15</f>
        <v>0.289330628803246</v>
      </c>
      <c r="K21" s="203" t="n">
        <f aca="false">$J21*1000</f>
        <v>289.330628803246</v>
      </c>
      <c r="L21" s="203" t="n">
        <f aca="false">$J21*$Q$4</f>
        <v>1.4264</v>
      </c>
      <c r="M21" s="203"/>
      <c r="N21" s="204" t="n">
        <f aca="false">$L21/$J21</f>
        <v>4.93</v>
      </c>
      <c r="O21" s="204"/>
    </row>
    <row r="22" customFormat="false" ht="12.8" hidden="false" customHeight="false" outlineLevel="0" collapsed="false">
      <c r="A22" s="71"/>
      <c r="B22" s="71"/>
      <c r="C22" s="71"/>
      <c r="D22" s="71"/>
      <c r="E22" s="71"/>
      <c r="F22" s="71"/>
      <c r="I22" s="202" t="s">
        <v>105</v>
      </c>
      <c r="J22" s="203" t="n">
        <f aca="false">SUM(J19:J21)</f>
        <v>2.28933062880325</v>
      </c>
      <c r="K22" s="203" t="n">
        <f aca="false">SUM(K19:K21)</f>
        <v>2289.33062880325</v>
      </c>
      <c r="L22" s="203" t="n">
        <f aca="false">SUM($L19:$L21)</f>
        <v>8.7282</v>
      </c>
      <c r="M22" s="203"/>
      <c r="N22" s="204" t="n">
        <f aca="false">$L22/$J22</f>
        <v>3.81255546498441</v>
      </c>
      <c r="O22" s="204"/>
    </row>
    <row r="23" customFormat="false" ht="12.8" hidden="false" customHeight="false" outlineLevel="0" collapsed="false">
      <c r="A23" s="71"/>
      <c r="B23" s="71"/>
      <c r="C23" s="71"/>
      <c r="D23" s="71"/>
      <c r="E23" s="71"/>
      <c r="F23" s="71"/>
      <c r="I23" s="181" t="s">
        <v>43</v>
      </c>
      <c r="J23" s="104" t="n">
        <f aca="false">$M$13</f>
        <v>1</v>
      </c>
      <c r="K23" s="104" t="n">
        <f aca="false">$J23*1000</f>
        <v>1000</v>
      </c>
      <c r="L23" s="182" t="n">
        <f aca="false">$J23*$O$4</f>
        <v>1.7786</v>
      </c>
      <c r="M23" s="182"/>
      <c r="N23" s="106" t="n">
        <f aca="false">$L23/$J23</f>
        <v>1.7786</v>
      </c>
      <c r="O23" s="106"/>
    </row>
    <row r="24" customFormat="false" ht="12.8" hidden="false" customHeight="false" outlineLevel="0" collapsed="false">
      <c r="A24" s="71"/>
      <c r="B24" s="71"/>
      <c r="C24" s="71"/>
      <c r="D24" s="71"/>
      <c r="E24" s="71"/>
      <c r="F24" s="71"/>
      <c r="I24" s="181" t="s">
        <v>44</v>
      </c>
      <c r="J24" s="104" t="n">
        <f aca="false">$M$14</f>
        <v>1</v>
      </c>
      <c r="K24" s="104" t="n">
        <f aca="false">$J24*1000</f>
        <v>1000</v>
      </c>
      <c r="L24" s="182" t="n">
        <f aca="false">$J24*$P$4</f>
        <v>5.5232</v>
      </c>
      <c r="M24" s="182"/>
      <c r="N24" s="106" t="n">
        <f aca="false">$L24/$J24</f>
        <v>5.5232</v>
      </c>
      <c r="O24" s="106"/>
    </row>
    <row r="25" customFormat="false" ht="12.8" hidden="false" customHeight="false" outlineLevel="0" collapsed="false">
      <c r="A25" s="71"/>
      <c r="B25" s="71"/>
      <c r="C25" s="71"/>
      <c r="D25" s="71"/>
      <c r="E25" s="71"/>
      <c r="F25" s="71"/>
      <c r="I25" s="181" t="s">
        <v>102</v>
      </c>
      <c r="J25" s="104" t="n">
        <f aca="false">($O$14-$O$13)/$N$15</f>
        <v>-0.289330628803246</v>
      </c>
      <c r="K25" s="104" t="n">
        <f aca="false">$J25*1000</f>
        <v>-289.330628803246</v>
      </c>
      <c r="L25" s="182" t="n">
        <f aca="false">$J25*$Q$4</f>
        <v>-1.4264</v>
      </c>
      <c r="M25" s="182"/>
      <c r="N25" s="106" t="n">
        <f aca="false">$L25/$J25</f>
        <v>4.93</v>
      </c>
      <c r="O25" s="106"/>
    </row>
    <row r="26" customFormat="false" ht="12.8" hidden="false" customHeight="false" outlineLevel="0" collapsed="false">
      <c r="A26" s="71"/>
      <c r="B26" s="71"/>
      <c r="C26" s="71"/>
      <c r="D26" s="71"/>
      <c r="E26" s="71"/>
      <c r="F26" s="71"/>
      <c r="I26" s="181" t="s">
        <v>105</v>
      </c>
      <c r="J26" s="104" t="n">
        <f aca="false">SUM(J23:J25)</f>
        <v>1.71066937119675</v>
      </c>
      <c r="K26" s="104" t="n">
        <f aca="false">SUM(K23:K25)</f>
        <v>1710.66937119675</v>
      </c>
      <c r="L26" s="182" t="n">
        <f aca="false">SUM($L23:$L25)</f>
        <v>5.8754</v>
      </c>
      <c r="M26" s="182"/>
      <c r="N26" s="106" t="n">
        <f aca="false">$L26/$J26</f>
        <v>3.4345619901347</v>
      </c>
      <c r="O26" s="106"/>
    </row>
    <row r="27" customFormat="false" ht="12.8" hidden="false" customHeight="false" outlineLevel="0" collapsed="false">
      <c r="A27" s="71"/>
      <c r="B27" s="71"/>
      <c r="C27" s="71"/>
      <c r="D27" s="71"/>
      <c r="E27" s="71"/>
      <c r="F27" s="71"/>
      <c r="I27" s="184" t="s">
        <v>43</v>
      </c>
      <c r="J27" s="185" t="n">
        <f aca="false">$M$13</f>
        <v>1</v>
      </c>
      <c r="K27" s="185" t="n">
        <f aca="false">$J27*1000</f>
        <v>1000</v>
      </c>
      <c r="L27" s="185" t="n">
        <f aca="false">$J27*$O$4</f>
        <v>1.7786</v>
      </c>
      <c r="M27" s="185"/>
      <c r="N27" s="186" t="n">
        <f aca="false">$L27/$J27</f>
        <v>1.7786</v>
      </c>
      <c r="O27" s="186"/>
    </row>
    <row r="28" customFormat="false" ht="12.8" hidden="false" customHeight="false" outlineLevel="0" collapsed="false">
      <c r="A28" s="71"/>
      <c r="B28" s="71"/>
      <c r="C28" s="71"/>
      <c r="D28" s="71"/>
      <c r="E28" s="71"/>
      <c r="F28" s="71"/>
      <c r="I28" s="184" t="s">
        <v>44</v>
      </c>
      <c r="J28" s="185" t="n">
        <f aca="false">($O$13-$O$15)/$N$14</f>
        <v>1.52356615559341</v>
      </c>
      <c r="K28" s="185" t="n">
        <f aca="false">$J28*1000</f>
        <v>1523.56615559341</v>
      </c>
      <c r="L28" s="185" t="n">
        <f aca="false">$J28*$P$4</f>
        <v>8.41496059057354</v>
      </c>
      <c r="M28" s="185"/>
      <c r="N28" s="186" t="n">
        <f aca="false">$L28/$J28</f>
        <v>5.5232</v>
      </c>
      <c r="O28" s="186"/>
    </row>
    <row r="29" customFormat="false" ht="12.8" hidden="false" customHeight="false" outlineLevel="0" collapsed="false">
      <c r="A29" s="71"/>
      <c r="B29" s="71"/>
      <c r="C29" s="71"/>
      <c r="D29" s="71"/>
      <c r="E29" s="71"/>
      <c r="F29" s="71"/>
      <c r="I29" s="184" t="s">
        <v>102</v>
      </c>
      <c r="J29" s="185" t="n">
        <f aca="false">$M$15</f>
        <v>1</v>
      </c>
      <c r="K29" s="185" t="n">
        <f aca="false">$J29*1000</f>
        <v>1000</v>
      </c>
      <c r="L29" s="185" t="n">
        <f aca="false">$J29*$Q$4</f>
        <v>4.93</v>
      </c>
      <c r="M29" s="185"/>
      <c r="N29" s="186" t="n">
        <f aca="false">$L29/$J29</f>
        <v>4.93</v>
      </c>
      <c r="O29" s="186"/>
    </row>
    <row r="30" customFormat="false" ht="12.8" hidden="false" customHeight="false" outlineLevel="0" collapsed="false">
      <c r="A30" s="71"/>
      <c r="B30" s="71"/>
      <c r="C30" s="71"/>
      <c r="D30" s="71"/>
      <c r="E30" s="71"/>
      <c r="F30" s="71"/>
      <c r="I30" s="184" t="s">
        <v>105</v>
      </c>
      <c r="J30" s="185" t="n">
        <f aca="false">SUM(J27:J29)</f>
        <v>3.52356615559341</v>
      </c>
      <c r="K30" s="185" t="n">
        <f aca="false">SUM(K27:K29)</f>
        <v>3523.56615559341</v>
      </c>
      <c r="L30" s="185" t="n">
        <f aca="false">SUM($L27:$L29)</f>
        <v>15.1235605905735</v>
      </c>
      <c r="M30" s="185"/>
      <c r="N30" s="186" t="n">
        <f aca="false">$L30/$J30</f>
        <v>4.29211767929089</v>
      </c>
      <c r="O30" s="186"/>
    </row>
    <row r="31" customFormat="false" ht="12.8" hidden="false" customHeight="false" outlineLevel="0" collapsed="false">
      <c r="A31" s="71"/>
      <c r="B31" s="71"/>
      <c r="C31" s="71"/>
      <c r="D31" s="71"/>
      <c r="E31" s="71"/>
      <c r="F31" s="71"/>
      <c r="I31" s="177" t="s">
        <v>43</v>
      </c>
      <c r="J31" s="92" t="n">
        <f aca="false">$M$13</f>
        <v>1</v>
      </c>
      <c r="K31" s="92" t="n">
        <f aca="false">$J31*1000</f>
        <v>1000</v>
      </c>
      <c r="L31" s="178" t="n">
        <f aca="false">$J31*$O$4</f>
        <v>1.7786</v>
      </c>
      <c r="M31" s="178"/>
      <c r="N31" s="94" t="n">
        <f aca="false">$L31/$J31</f>
        <v>1.7786</v>
      </c>
      <c r="O31" s="94"/>
    </row>
    <row r="32" customFormat="false" ht="12.8" hidden="false" customHeight="false" outlineLevel="0" collapsed="false">
      <c r="A32" s="71"/>
      <c r="B32" s="71"/>
      <c r="C32" s="71"/>
      <c r="D32" s="71"/>
      <c r="E32" s="71"/>
      <c r="F32" s="71"/>
      <c r="I32" s="177" t="s">
        <v>44</v>
      </c>
      <c r="J32" s="92" t="n">
        <f aca="false">($O$15-$O$13)/$N$14</f>
        <v>-1.52356615559341</v>
      </c>
      <c r="K32" s="92" t="n">
        <f aca="false">$J32*1000</f>
        <v>-1523.56615559341</v>
      </c>
      <c r="L32" s="178" t="n">
        <f aca="false">$J32*$P$4</f>
        <v>-8.41496059057354</v>
      </c>
      <c r="M32" s="178"/>
      <c r="N32" s="94" t="n">
        <f aca="false">$L32/$J32</f>
        <v>5.5232</v>
      </c>
      <c r="O32" s="94"/>
    </row>
    <row r="33" customFormat="false" ht="12.8" hidden="false" customHeight="false" outlineLevel="0" collapsed="false">
      <c r="A33" s="71"/>
      <c r="B33" s="71"/>
      <c r="C33" s="71"/>
      <c r="D33" s="71"/>
      <c r="E33" s="71"/>
      <c r="F33" s="71"/>
      <c r="I33" s="177" t="s">
        <v>102</v>
      </c>
      <c r="J33" s="92" t="n">
        <f aca="false">$M$15</f>
        <v>1</v>
      </c>
      <c r="K33" s="92" t="n">
        <f aca="false">$J33*1000</f>
        <v>1000</v>
      </c>
      <c r="L33" s="178" t="n">
        <f aca="false">$J33*$Q$4</f>
        <v>4.93</v>
      </c>
      <c r="M33" s="178"/>
      <c r="N33" s="94" t="n">
        <f aca="false">$L33/$J33</f>
        <v>4.93</v>
      </c>
      <c r="O33" s="94"/>
    </row>
    <row r="34" customFormat="false" ht="12.8" hidden="false" customHeight="false" outlineLevel="0" collapsed="false">
      <c r="A34" s="71"/>
      <c r="B34" s="71"/>
      <c r="C34" s="71"/>
      <c r="D34" s="71"/>
      <c r="E34" s="71"/>
      <c r="F34" s="71"/>
      <c r="I34" s="177" t="s">
        <v>105</v>
      </c>
      <c r="J34" s="92" t="n">
        <f aca="false">SUM(J31:J33)</f>
        <v>0.476433844406588</v>
      </c>
      <c r="K34" s="92" t="n">
        <f aca="false">SUM(K31:K33)</f>
        <v>476.433844406588</v>
      </c>
      <c r="L34" s="178" t="n">
        <f aca="false">SUM($L31:$L33)</f>
        <v>-1.70636059057354</v>
      </c>
      <c r="M34" s="178"/>
      <c r="N34" s="94" t="n">
        <f aca="false">$L34/$J34</f>
        <v>-3.58152681764004</v>
      </c>
      <c r="O34" s="94"/>
    </row>
    <row r="35" customFormat="false" ht="12.8" hidden="false" customHeight="false" outlineLevel="0" collapsed="false">
      <c r="A35" s="71"/>
      <c r="B35" s="71"/>
      <c r="C35" s="71"/>
      <c r="D35" s="71"/>
      <c r="E35" s="71"/>
      <c r="F35" s="71"/>
      <c r="I35" s="180" t="s">
        <v>43</v>
      </c>
      <c r="J35" s="125" t="n">
        <f aca="false">($O$14-$O$15)/$N$13</f>
        <v>2.20720173206214</v>
      </c>
      <c r="K35" s="125" t="n">
        <f aca="false">$J35*1000</f>
        <v>2207.20173206214</v>
      </c>
      <c r="L35" s="125" t="n">
        <f aca="false">$J35*$O$4</f>
        <v>3.92572900064573</v>
      </c>
      <c r="M35" s="125"/>
      <c r="N35" s="126" t="n">
        <f aca="false">$L35/$J35</f>
        <v>1.7786</v>
      </c>
      <c r="O35" s="126"/>
    </row>
    <row r="36" customFormat="false" ht="12.8" hidden="false" customHeight="false" outlineLevel="0" collapsed="false">
      <c r="A36" s="71"/>
      <c r="B36" s="71"/>
      <c r="C36" s="71"/>
      <c r="D36" s="71"/>
      <c r="E36" s="71"/>
      <c r="F36" s="71"/>
      <c r="I36" s="180" t="s">
        <v>44</v>
      </c>
      <c r="J36" s="125" t="n">
        <f aca="false">$M$14</f>
        <v>1</v>
      </c>
      <c r="K36" s="125" t="n">
        <f aca="false">$J36*1000</f>
        <v>1000</v>
      </c>
      <c r="L36" s="125" t="n">
        <f aca="false">$J36*$P$4</f>
        <v>5.5232</v>
      </c>
      <c r="M36" s="125"/>
      <c r="N36" s="126" t="n">
        <f aca="false">$L36/$J36</f>
        <v>5.5232</v>
      </c>
      <c r="O36" s="126"/>
    </row>
    <row r="37" customFormat="false" ht="12.8" hidden="false" customHeight="false" outlineLevel="0" collapsed="false">
      <c r="A37" s="71"/>
      <c r="B37" s="71"/>
      <c r="C37" s="71"/>
      <c r="D37" s="71"/>
      <c r="E37" s="71"/>
      <c r="F37" s="71"/>
      <c r="I37" s="180" t="s">
        <v>102</v>
      </c>
      <c r="J37" s="125" t="n">
        <f aca="false">$M$15</f>
        <v>1</v>
      </c>
      <c r="K37" s="125" t="n">
        <f aca="false">$J37*1000</f>
        <v>1000</v>
      </c>
      <c r="L37" s="125" t="n">
        <f aca="false">$J37*$Q$4</f>
        <v>4.93</v>
      </c>
      <c r="M37" s="125"/>
      <c r="N37" s="126" t="n">
        <f aca="false">$L37/$J37</f>
        <v>4.93</v>
      </c>
      <c r="O37" s="126"/>
    </row>
    <row r="38" customFormat="false" ht="12.8" hidden="false" customHeight="false" outlineLevel="0" collapsed="false">
      <c r="A38" s="71"/>
      <c r="B38" s="71"/>
      <c r="C38" s="71"/>
      <c r="D38" s="71"/>
      <c r="E38" s="71"/>
      <c r="F38" s="71"/>
      <c r="I38" s="180" t="s">
        <v>105</v>
      </c>
      <c r="J38" s="125" t="n">
        <f aca="false">SUM(J35:J37)</f>
        <v>4.20720173206214</v>
      </c>
      <c r="K38" s="125" t="n">
        <f aca="false">SUM(K35:K37)</f>
        <v>4207.20173206214</v>
      </c>
      <c r="L38" s="125" t="n">
        <f aca="false">SUM($L35:$L37)</f>
        <v>14.3789290006457</v>
      </c>
      <c r="M38" s="125"/>
      <c r="N38" s="126" t="n">
        <f aca="false">$L38/$J38</f>
        <v>3.41769421016043</v>
      </c>
      <c r="O38" s="126"/>
    </row>
    <row r="39" customFormat="false" ht="12.8" hidden="false" customHeight="false" outlineLevel="0" collapsed="false">
      <c r="A39" s="71"/>
      <c r="B39" s="71"/>
      <c r="C39" s="71"/>
      <c r="D39" s="71"/>
      <c r="E39" s="71"/>
      <c r="F39" s="71"/>
      <c r="I39" s="205" t="s">
        <v>43</v>
      </c>
      <c r="J39" s="206" t="n">
        <f aca="false">($O$15-$O$14)/$N$13</f>
        <v>-2.20720173206214</v>
      </c>
      <c r="K39" s="206" t="n">
        <f aca="false">$J39*1000</f>
        <v>-2207.20173206214</v>
      </c>
      <c r="L39" s="206" t="n">
        <f aca="false">$J39*$O$4</f>
        <v>-3.92572900064573</v>
      </c>
      <c r="M39" s="206"/>
      <c r="N39" s="207" t="n">
        <f aca="false">$L39/$J39</f>
        <v>1.7786</v>
      </c>
      <c r="O39" s="207"/>
    </row>
    <row r="40" customFormat="false" ht="12.8" hidden="false" customHeight="false" outlineLevel="0" collapsed="false">
      <c r="A40" s="71"/>
      <c r="B40" s="71"/>
      <c r="C40" s="71"/>
      <c r="D40" s="71"/>
      <c r="E40" s="71"/>
      <c r="F40" s="71"/>
      <c r="I40" s="205" t="s">
        <v>44</v>
      </c>
      <c r="J40" s="206" t="n">
        <f aca="false">$M$14</f>
        <v>1</v>
      </c>
      <c r="K40" s="206" t="n">
        <f aca="false">$J40*1000</f>
        <v>1000</v>
      </c>
      <c r="L40" s="206" t="n">
        <f aca="false">$J40*$P$4</f>
        <v>5.5232</v>
      </c>
      <c r="M40" s="206"/>
      <c r="N40" s="207" t="n">
        <f aca="false">$L40/$J40</f>
        <v>5.5232</v>
      </c>
      <c r="O40" s="207"/>
    </row>
    <row r="41" customFormat="false" ht="12.8" hidden="false" customHeight="false" outlineLevel="0" collapsed="false">
      <c r="A41" s="71"/>
      <c r="B41" s="71"/>
      <c r="C41" s="71"/>
      <c r="D41" s="71"/>
      <c r="E41" s="71"/>
      <c r="F41" s="71"/>
      <c r="I41" s="205" t="s">
        <v>102</v>
      </c>
      <c r="J41" s="206" t="n">
        <f aca="false">$M$15</f>
        <v>1</v>
      </c>
      <c r="K41" s="206" t="n">
        <f aca="false">$J41*1000</f>
        <v>1000</v>
      </c>
      <c r="L41" s="206" t="n">
        <f aca="false">$J41*$Q$4</f>
        <v>4.93</v>
      </c>
      <c r="M41" s="206"/>
      <c r="N41" s="207" t="n">
        <f aca="false">$L41/$J41</f>
        <v>4.93</v>
      </c>
      <c r="O41" s="207"/>
    </row>
    <row r="42" customFormat="false" ht="12.8" hidden="false" customHeight="false" outlineLevel="0" collapsed="false">
      <c r="A42" s="71"/>
      <c r="B42" s="71"/>
      <c r="C42" s="71"/>
      <c r="D42" s="71"/>
      <c r="E42" s="71"/>
      <c r="F42" s="71"/>
      <c r="I42" s="208" t="s">
        <v>105</v>
      </c>
      <c r="J42" s="209" t="n">
        <f aca="false">SUM(J39:J41)</f>
        <v>-0.207201732062142</v>
      </c>
      <c r="K42" s="209" t="n">
        <f aca="false">SUM(K39:K41)</f>
        <v>-207.201732062142</v>
      </c>
      <c r="L42" s="209" t="n">
        <f aca="false">SUM($L39:$L41)</f>
        <v>6.52747099935428</v>
      </c>
      <c r="M42" s="209"/>
      <c r="N42" s="210" t="n">
        <f aca="false">$L42/$J42</f>
        <v>-31.5029750687443</v>
      </c>
      <c r="O42" s="210"/>
    </row>
    <row r="43" customFormat="false" ht="12.8" hidden="false" customHeight="false" outlineLevel="0" collapsed="false">
      <c r="A43" s="71"/>
      <c r="B43" s="71"/>
      <c r="C43" s="71"/>
      <c r="D43" s="71"/>
      <c r="E43" s="71"/>
      <c r="F43" s="71"/>
    </row>
    <row r="44" customFormat="false" ht="12.8" hidden="false" customHeight="false" outlineLevel="0" collapsed="false">
      <c r="A44" s="71"/>
      <c r="B44" s="71"/>
      <c r="C44" s="71"/>
      <c r="D44" s="71"/>
      <c r="E44" s="71"/>
      <c r="F44" s="71"/>
    </row>
    <row r="45" customFormat="false" ht="12.8" hidden="false" customHeight="false" outlineLevel="0" collapsed="false">
      <c r="A45" s="71"/>
      <c r="B45" s="71"/>
      <c r="C45" s="71"/>
      <c r="D45" s="71"/>
      <c r="E45" s="71"/>
      <c r="F45" s="71"/>
      <c r="I45" s="200" t="s">
        <v>68</v>
      </c>
      <c r="J45" s="200"/>
      <c r="K45" s="200"/>
      <c r="L45" s="200"/>
      <c r="M45" s="200"/>
      <c r="N45" s="200"/>
      <c r="O45" s="200"/>
      <c r="P45" s="200"/>
    </row>
    <row r="46" customFormat="false" ht="12.8" hidden="false" customHeight="false" outlineLevel="0" collapsed="false">
      <c r="A46" s="71"/>
      <c r="B46" s="71"/>
      <c r="C46" s="71"/>
      <c r="D46" s="71"/>
      <c r="E46" s="71"/>
      <c r="F46" s="71"/>
    </row>
    <row r="47" customFormat="false" ht="12.8" hidden="false" customHeight="false" outlineLevel="0" collapsed="false">
      <c r="A47" s="71"/>
      <c r="B47" s="71"/>
      <c r="C47" s="71"/>
      <c r="D47" s="71"/>
      <c r="E47" s="71"/>
      <c r="F47" s="71"/>
      <c r="I47" s="211" t="s">
        <v>39</v>
      </c>
      <c r="J47" s="200" t="s">
        <v>69</v>
      </c>
      <c r="K47" s="200" t="s">
        <v>70</v>
      </c>
      <c r="L47" s="200" t="s">
        <v>71</v>
      </c>
      <c r="M47" s="200" t="s">
        <v>19</v>
      </c>
      <c r="N47" s="200" t="s">
        <v>72</v>
      </c>
      <c r="O47" s="200" t="s">
        <v>24</v>
      </c>
      <c r="P47" s="212" t="s">
        <v>73</v>
      </c>
    </row>
    <row r="48" customFormat="false" ht="12.8" hidden="false" customHeight="false" outlineLevel="0" collapsed="false">
      <c r="A48" s="71"/>
      <c r="B48" s="71"/>
      <c r="C48" s="71"/>
      <c r="D48" s="71"/>
      <c r="E48" s="71"/>
      <c r="F48" s="71"/>
      <c r="I48" s="202" t="s">
        <v>43</v>
      </c>
      <c r="J48" s="203" t="n">
        <f aca="false">$J19*$O$3</f>
        <v>1068.43760252525</v>
      </c>
      <c r="K48" s="203" t="n">
        <f aca="false">SUM(J48:J50)</f>
        <v>2326.06823048062</v>
      </c>
      <c r="L48" s="203" t="n">
        <f aca="false">($O$6*$J19)+($P$6*$J20)+($Q$6*$J21)</f>
        <v>1407.01705328243</v>
      </c>
      <c r="M48" s="203" t="n">
        <f aca="false">($L48/$K48)*100</f>
        <v>60.4890705631496</v>
      </c>
      <c r="N48" s="203" t="n">
        <f aca="false">($O$7*$J19)+($P$7*$J20)+($Q$7*$J21)</f>
        <v>1392.35490192099</v>
      </c>
      <c r="O48" s="203" t="n">
        <f aca="false">($N48/$K48)*100</f>
        <v>59.8587300095361</v>
      </c>
      <c r="P48" s="204" t="n">
        <f aca="false">$N48/$L48</f>
        <v>0.989579265349177</v>
      </c>
    </row>
    <row r="49" customFormat="false" ht="12.8" hidden="false" customHeight="false" outlineLevel="0" collapsed="false">
      <c r="A49" s="71"/>
      <c r="B49" s="71"/>
      <c r="C49" s="71"/>
      <c r="D49" s="71"/>
      <c r="E49" s="71"/>
      <c r="F49" s="71"/>
      <c r="I49" s="202" t="s">
        <v>44</v>
      </c>
      <c r="J49" s="203" t="n">
        <f aca="false">$J20*$P$3</f>
        <v>893.074035663281</v>
      </c>
      <c r="K49" s="203"/>
      <c r="L49" s="203"/>
      <c r="M49" s="203"/>
      <c r="N49" s="203"/>
      <c r="O49" s="203"/>
      <c r="P49" s="204"/>
    </row>
    <row r="50" customFormat="false" ht="12.8" hidden="false" customHeight="false" outlineLevel="0" collapsed="false">
      <c r="A50" s="71"/>
      <c r="B50" s="71"/>
      <c r="C50" s="71"/>
      <c r="D50" s="71"/>
      <c r="E50" s="71"/>
      <c r="F50" s="71"/>
      <c r="I50" s="202" t="s">
        <v>102</v>
      </c>
      <c r="J50" s="203" t="n">
        <f aca="false">$J21*$Q$3</f>
        <v>364.55659229209</v>
      </c>
      <c r="K50" s="203"/>
      <c r="L50" s="203"/>
      <c r="M50" s="203"/>
      <c r="N50" s="203"/>
      <c r="O50" s="203"/>
      <c r="P50" s="204"/>
    </row>
    <row r="51" customFormat="false" ht="12.8" hidden="false" customHeight="false" outlineLevel="0" collapsed="false">
      <c r="A51" s="71"/>
      <c r="B51" s="71"/>
      <c r="C51" s="71"/>
      <c r="D51" s="71"/>
      <c r="E51" s="71"/>
      <c r="F51" s="71"/>
      <c r="I51" s="181" t="s">
        <v>43</v>
      </c>
      <c r="J51" s="104" t="n">
        <f aca="false">$J23*$O$3</f>
        <v>1068.43760252525</v>
      </c>
      <c r="K51" s="182" t="n">
        <f aca="false">SUM(J51:J53)</f>
        <v>1596.95504589644</v>
      </c>
      <c r="L51" s="182" t="n">
        <f aca="false">($O$6*$J23)+($P$6*$J24)+($Q$6*$J25)</f>
        <v>1401.23044070636</v>
      </c>
      <c r="M51" s="182" t="n">
        <f aca="false">($L51/$K51)*100</f>
        <v>87.7438876133041</v>
      </c>
      <c r="N51" s="182" t="n">
        <f aca="false">($O$7*$J23)+($P$7*$J24)+($Q$7*$J25)</f>
        <v>1386.56828934493</v>
      </c>
      <c r="O51" s="182" t="n">
        <f aca="false">($N51/$K51)*100</f>
        <v>86.8257558600581</v>
      </c>
      <c r="P51" s="183" t="n">
        <f aca="false">$N51/$L51</f>
        <v>0.989536231204021</v>
      </c>
    </row>
    <row r="52" customFormat="false" ht="12.8" hidden="false" customHeight="false" outlineLevel="0" collapsed="false">
      <c r="A52" s="71"/>
      <c r="B52" s="71"/>
      <c r="C52" s="71"/>
      <c r="D52" s="71"/>
      <c r="E52" s="71"/>
      <c r="F52" s="71"/>
      <c r="I52" s="181" t="s">
        <v>44</v>
      </c>
      <c r="J52" s="104" t="n">
        <f aca="false">$J24*$P$3</f>
        <v>893.074035663281</v>
      </c>
      <c r="K52" s="182"/>
      <c r="L52" s="182"/>
      <c r="M52" s="182"/>
      <c r="N52" s="182"/>
      <c r="O52" s="182"/>
      <c r="P52" s="183"/>
    </row>
    <row r="53" customFormat="false" ht="12.8" hidden="false" customHeight="false" outlineLevel="0" collapsed="false">
      <c r="A53" s="71"/>
      <c r="B53" s="71"/>
      <c r="C53" s="71"/>
      <c r="D53" s="71"/>
      <c r="E53" s="71"/>
      <c r="F53" s="71"/>
      <c r="I53" s="181" t="s">
        <v>102</v>
      </c>
      <c r="J53" s="104" t="n">
        <f aca="false">$J25*$Q$3</f>
        <v>-364.55659229209</v>
      </c>
      <c r="K53" s="182"/>
      <c r="L53" s="182"/>
      <c r="M53" s="182"/>
      <c r="N53" s="182"/>
      <c r="O53" s="182"/>
      <c r="P53" s="183"/>
    </row>
    <row r="54" customFormat="false" ht="12.8" hidden="false" customHeight="false" outlineLevel="0" collapsed="false">
      <c r="A54" s="71"/>
      <c r="B54" s="71"/>
      <c r="C54" s="71"/>
      <c r="D54" s="71"/>
      <c r="E54" s="71"/>
      <c r="F54" s="71"/>
      <c r="I54" s="184" t="s">
        <v>43</v>
      </c>
      <c r="J54" s="185" t="n">
        <f aca="false">$J27*$O$3</f>
        <v>1068.43760252525</v>
      </c>
      <c r="K54" s="185" t="n">
        <f aca="false">SUM(J54:J56)</f>
        <v>3689.09497770105</v>
      </c>
      <c r="L54" s="185" t="n">
        <f aca="false">($O$6*$J27)+($P$6*$J28)+($Q$6*$J29)</f>
        <v>1868.43466280141</v>
      </c>
      <c r="M54" s="185" t="n">
        <f aca="false">($L54/$K54)*100</f>
        <v>50.6475076975592</v>
      </c>
      <c r="N54" s="185" t="n">
        <f aca="false">($O$7*$J27)+($P$7*$J28)+($Q$7*$J29)</f>
        <v>1854.25985824791</v>
      </c>
      <c r="O54" s="185" t="n">
        <f aca="false">($N54/$K54)*100</f>
        <v>50.26327241386</v>
      </c>
      <c r="P54" s="186" t="n">
        <f aca="false">$N54/$L54</f>
        <v>0.992413540149031</v>
      </c>
    </row>
    <row r="55" customFormat="false" ht="12.8" hidden="false" customHeight="false" outlineLevel="0" collapsed="false">
      <c r="A55" s="71"/>
      <c r="B55" s="71"/>
      <c r="C55" s="71"/>
      <c r="D55" s="71"/>
      <c r="E55" s="71"/>
      <c r="F55" s="71"/>
      <c r="I55" s="184" t="s">
        <v>44</v>
      </c>
      <c r="J55" s="185" t="n">
        <f aca="false">$J28*$P$3</f>
        <v>1360.6573751758</v>
      </c>
      <c r="K55" s="185"/>
      <c r="L55" s="185"/>
      <c r="M55" s="185"/>
      <c r="N55" s="185"/>
      <c r="O55" s="185"/>
      <c r="P55" s="186"/>
    </row>
    <row r="56" customFormat="false" ht="12.8" hidden="false" customHeight="false" outlineLevel="0" collapsed="false">
      <c r="A56" s="71"/>
      <c r="B56" s="71"/>
      <c r="C56" s="71"/>
      <c r="D56" s="71"/>
      <c r="E56" s="71"/>
      <c r="F56" s="71"/>
      <c r="I56" s="184" t="s">
        <v>102</v>
      </c>
      <c r="J56" s="185" t="n">
        <f aca="false">$J29*$Q$3</f>
        <v>1260</v>
      </c>
      <c r="K56" s="185"/>
      <c r="L56" s="185"/>
      <c r="M56" s="185"/>
      <c r="N56" s="185"/>
      <c r="O56" s="185"/>
      <c r="P56" s="186"/>
    </row>
    <row r="57" customFormat="false" ht="12.8" hidden="false" customHeight="false" outlineLevel="0" collapsed="false">
      <c r="A57" s="71"/>
      <c r="B57" s="71"/>
      <c r="C57" s="71"/>
      <c r="D57" s="71"/>
      <c r="E57" s="71"/>
      <c r="F57" s="71"/>
      <c r="I57" s="177" t="s">
        <v>43</v>
      </c>
      <c r="J57" s="92" t="n">
        <f aca="false">$J31*$O$3</f>
        <v>1068.43760252525</v>
      </c>
      <c r="K57" s="178" t="n">
        <f aca="false">SUM(J57:J59)</f>
        <v>967.780227349454</v>
      </c>
      <c r="L57" s="178" t="n">
        <f aca="false">($O$6*$J31)+($P$6*$J32)+($Q$6*$J33)</f>
        <v>-775.63515739429</v>
      </c>
      <c r="M57" s="178" t="n">
        <f aca="false">($L57/$K57)*100</f>
        <v>-80.1457950343325</v>
      </c>
      <c r="N57" s="178" t="n">
        <f aca="false">($O$7*$J31)+($P$7*$J32)+($Q$7*$J33)</f>
        <v>-792.646299226954</v>
      </c>
      <c r="O57" s="178" t="n">
        <f aca="false">($N57/$K57)*100</f>
        <v>-81.9035434726586</v>
      </c>
      <c r="P57" s="179" t="n">
        <f aca="false">$N57/$L57</f>
        <v>1.02193188597821</v>
      </c>
    </row>
    <row r="58" customFormat="false" ht="12.8" hidden="false" customHeight="false" outlineLevel="0" collapsed="false">
      <c r="A58" s="71"/>
      <c r="B58" s="71"/>
      <c r="C58" s="71"/>
      <c r="D58" s="71"/>
      <c r="E58" s="71"/>
      <c r="F58" s="71"/>
      <c r="I58" s="177" t="s">
        <v>44</v>
      </c>
      <c r="J58" s="92" t="n">
        <f aca="false">$J32*$P$3</f>
        <v>-1360.6573751758</v>
      </c>
      <c r="K58" s="178"/>
      <c r="L58" s="178"/>
      <c r="M58" s="178"/>
      <c r="N58" s="178"/>
      <c r="O58" s="178"/>
      <c r="P58" s="179"/>
    </row>
    <row r="59" customFormat="false" ht="12.8" hidden="false" customHeight="false" outlineLevel="0" collapsed="false">
      <c r="A59" s="71"/>
      <c r="B59" s="71"/>
      <c r="C59" s="71"/>
      <c r="D59" s="71"/>
      <c r="E59" s="71"/>
      <c r="F59" s="71"/>
      <c r="I59" s="177" t="s">
        <v>102</v>
      </c>
      <c r="J59" s="92" t="n">
        <f aca="false">$J33*$Q$3</f>
        <v>1260</v>
      </c>
      <c r="K59" s="178"/>
      <c r="L59" s="178"/>
      <c r="M59" s="178"/>
      <c r="N59" s="178"/>
      <c r="O59" s="178"/>
      <c r="P59" s="179"/>
    </row>
    <row r="60" customFormat="false" ht="12.8" hidden="false" customHeight="false" outlineLevel="0" collapsed="false">
      <c r="A60" s="71"/>
      <c r="B60" s="71"/>
      <c r="C60" s="71"/>
      <c r="D60" s="71"/>
      <c r="E60" s="71"/>
      <c r="F60" s="71"/>
      <c r="I60" s="180" t="s">
        <v>43</v>
      </c>
      <c r="J60" s="125" t="n">
        <f aca="false">$J35*$O$3</f>
        <v>2358.25732689406</v>
      </c>
      <c r="K60" s="125" t="n">
        <f aca="false">SUM(J60:J62)</f>
        <v>4511.33136255734</v>
      </c>
      <c r="L60" s="125" t="n">
        <f aca="false">($O$6*$J35)+($P$6*$J36)+($Q$6*$J37)</f>
        <v>2061.66645753584</v>
      </c>
      <c r="M60" s="125" t="n">
        <f aca="false">($L60/$K60)*100</f>
        <v>45.6997345539065</v>
      </c>
      <c r="N60" s="125" t="n">
        <f aca="false">($O$7*$J35)+($P$7*$J36)+($Q$7*$J37)</f>
        <v>2028.18044192771</v>
      </c>
      <c r="O60" s="125" t="n">
        <f aca="false">($N60/$K60)*100</f>
        <v>44.957469955787</v>
      </c>
      <c r="P60" s="126" t="n">
        <f aca="false">$N60/$L60</f>
        <v>0.983757791913562</v>
      </c>
    </row>
    <row r="61" customFormat="false" ht="12.8" hidden="false" customHeight="false" outlineLevel="0" collapsed="false">
      <c r="A61" s="71"/>
      <c r="B61" s="71"/>
      <c r="C61" s="71"/>
      <c r="D61" s="71"/>
      <c r="E61" s="71"/>
      <c r="F61" s="71"/>
      <c r="I61" s="180" t="s">
        <v>44</v>
      </c>
      <c r="J61" s="125" t="n">
        <f aca="false">$J36*$P$3</f>
        <v>893.074035663281</v>
      </c>
      <c r="K61" s="125"/>
      <c r="L61" s="125"/>
      <c r="M61" s="125"/>
      <c r="N61" s="125"/>
      <c r="O61" s="125"/>
      <c r="P61" s="126"/>
    </row>
    <row r="62" customFormat="false" ht="12.8" hidden="false" customHeight="false" outlineLevel="0" collapsed="false">
      <c r="A62" s="71"/>
      <c r="B62" s="71"/>
      <c r="C62" s="71"/>
      <c r="D62" s="71"/>
      <c r="E62" s="71"/>
      <c r="F62" s="71"/>
      <c r="I62" s="180" t="s">
        <v>102</v>
      </c>
      <c r="J62" s="125" t="n">
        <f aca="false">$J37*$Q$3</f>
        <v>1260</v>
      </c>
      <c r="K62" s="125"/>
      <c r="L62" s="125"/>
      <c r="M62" s="125"/>
      <c r="N62" s="125"/>
      <c r="O62" s="125"/>
      <c r="P62" s="126"/>
    </row>
    <row r="63" customFormat="false" ht="12.8" hidden="false" customHeight="false" outlineLevel="0" collapsed="false">
      <c r="A63" s="71"/>
      <c r="B63" s="71"/>
      <c r="C63" s="71"/>
      <c r="D63" s="71"/>
      <c r="E63" s="71"/>
      <c r="F63" s="71"/>
      <c r="I63" s="205" t="s">
        <v>43</v>
      </c>
      <c r="J63" s="206" t="n">
        <f aca="false">$J39*$O$3</f>
        <v>-2358.25732689406</v>
      </c>
      <c r="K63" s="209" t="n">
        <f aca="false">SUM(J63:J65)</f>
        <v>-205.183291230779</v>
      </c>
      <c r="L63" s="209" t="n">
        <f aca="false">($O$6*$J39)+($P$6*$J40)+($Q$6*$J41)</f>
        <v>-306.218468954165</v>
      </c>
      <c r="M63" s="209" t="n">
        <f aca="false">($L63/$K63)*100</f>
        <v>149.241425613818</v>
      </c>
      <c r="N63" s="209" t="n">
        <f aca="false">($O$7*$J39)+($P$7*$J40)+($Q$7*$J41)</f>
        <v>-270.870809682749</v>
      </c>
      <c r="O63" s="209" t="n">
        <f aca="false">($N63/$K63)*100</f>
        <v>132.014068035437</v>
      </c>
      <c r="P63" s="210" t="n">
        <f aca="false">$N63/$L63</f>
        <v>0.884567186975562</v>
      </c>
    </row>
    <row r="64" customFormat="false" ht="12.8" hidden="false" customHeight="false" outlineLevel="0" collapsed="false">
      <c r="A64" s="71"/>
      <c r="B64" s="71"/>
      <c r="C64" s="71"/>
      <c r="D64" s="71"/>
      <c r="E64" s="71"/>
      <c r="F64" s="71"/>
      <c r="I64" s="205" t="s">
        <v>44</v>
      </c>
      <c r="J64" s="206" t="n">
        <f aca="false">$J40*$P$3</f>
        <v>893.074035663281</v>
      </c>
      <c r="K64" s="209"/>
      <c r="L64" s="209"/>
      <c r="M64" s="209"/>
      <c r="N64" s="209"/>
      <c r="O64" s="209"/>
      <c r="P64" s="210"/>
    </row>
    <row r="65" customFormat="false" ht="12.8" hidden="false" customHeight="false" outlineLevel="0" collapsed="false">
      <c r="A65" s="71"/>
      <c r="B65" s="71"/>
      <c r="C65" s="71"/>
      <c r="D65" s="71"/>
      <c r="E65" s="71"/>
      <c r="F65" s="71"/>
      <c r="I65" s="208" t="s">
        <v>102</v>
      </c>
      <c r="J65" s="209" t="n">
        <f aca="false">$J41*$Q$3</f>
        <v>1260</v>
      </c>
      <c r="K65" s="209"/>
      <c r="L65" s="209"/>
      <c r="M65" s="209"/>
      <c r="N65" s="209"/>
      <c r="O65" s="209"/>
      <c r="P65" s="210"/>
    </row>
    <row r="66" customFormat="false" ht="12.8" hidden="false" customHeight="false" outlineLevel="0" collapsed="false">
      <c r="A66" s="71"/>
      <c r="B66" s="71"/>
      <c r="C66" s="71"/>
      <c r="D66" s="71"/>
      <c r="E66" s="71"/>
      <c r="F66" s="71"/>
    </row>
    <row r="67" customFormat="false" ht="12.8" hidden="false" customHeight="false" outlineLevel="0" collapsed="false">
      <c r="A67" s="71"/>
      <c r="B67" s="71"/>
      <c r="C67" s="71"/>
      <c r="D67" s="71"/>
      <c r="E67" s="71"/>
      <c r="F67" s="71"/>
      <c r="J67" s="174" t="s">
        <v>74</v>
      </c>
      <c r="L67" s="213" t="s">
        <v>75</v>
      </c>
      <c r="M67" s="214" t="s">
        <v>76</v>
      </c>
      <c r="N67" s="214" t="s">
        <v>62</v>
      </c>
      <c r="O67" s="215" t="s">
        <v>77</v>
      </c>
    </row>
    <row r="68" customFormat="false" ht="12.8" hidden="false" customHeight="false" outlineLevel="0" collapsed="false">
      <c r="A68" s="71"/>
      <c r="B68" s="71"/>
      <c r="C68" s="71"/>
      <c r="D68" s="71"/>
      <c r="E68" s="71"/>
      <c r="F68" s="71"/>
      <c r="J68" s="216" t="n">
        <v>2</v>
      </c>
      <c r="L68" s="217" t="n">
        <f aca="false">$M48/$J$68</f>
        <v>30.2445352815748</v>
      </c>
      <c r="M68" s="218" t="n">
        <f aca="false">$N48/$L68</f>
        <v>46.0365778134215</v>
      </c>
      <c r="N68" s="218" t="n">
        <f aca="false">$L68*$J22</f>
        <v>69.2397409740296</v>
      </c>
      <c r="O68" s="219" t="n">
        <f aca="false">$M68/$N68</f>
        <v>0.664886626752242</v>
      </c>
    </row>
    <row r="69" customFormat="false" ht="12.8" hidden="false" customHeight="false" outlineLevel="0" collapsed="false">
      <c r="A69" s="71"/>
      <c r="B69" s="71"/>
      <c r="C69" s="71"/>
      <c r="D69" s="71"/>
      <c r="E69" s="71"/>
      <c r="F69" s="71"/>
      <c r="J69" s="220" t="n">
        <v>5</v>
      </c>
      <c r="L69" s="221" t="n">
        <f aca="false">$M48/$J$69</f>
        <v>12.0978141126299</v>
      </c>
      <c r="M69" s="222" t="n">
        <f aca="false">$N48/$L69</f>
        <v>115.091444533554</v>
      </c>
      <c r="N69" s="222" t="n">
        <f aca="false">$L69*$J22</f>
        <v>27.6958963896118</v>
      </c>
      <c r="O69" s="223" t="n">
        <f aca="false">$M69/$N69</f>
        <v>4.15554141720151</v>
      </c>
    </row>
    <row r="70" customFormat="false" ht="12.8" hidden="false" customHeight="false" outlineLevel="0" collapsed="false">
      <c r="A70" s="71"/>
      <c r="B70" s="71"/>
      <c r="C70" s="71"/>
      <c r="D70" s="71"/>
      <c r="E70" s="71"/>
      <c r="F70" s="71"/>
      <c r="L70" s="98" t="n">
        <f aca="false">$M51/$J$68</f>
        <v>43.871943806652</v>
      </c>
      <c r="M70" s="100" t="n">
        <f aca="false">$N51/$L70</f>
        <v>31.6048975503722</v>
      </c>
      <c r="N70" s="100" t="n">
        <f aca="false">$L70*$J26</f>
        <v>75.0503905249048</v>
      </c>
      <c r="O70" s="127" t="n">
        <f aca="false">$M70/$N70</f>
        <v>0.421115697457756</v>
      </c>
    </row>
    <row r="71" customFormat="false" ht="12.8" hidden="false" customHeight="false" outlineLevel="0" collapsed="false">
      <c r="A71" s="71"/>
      <c r="B71" s="71"/>
      <c r="C71" s="71"/>
      <c r="D71" s="71"/>
      <c r="E71" s="71"/>
      <c r="F71" s="71"/>
      <c r="L71" s="224" t="n">
        <f aca="false">$M51/$J$69</f>
        <v>17.5487775226608</v>
      </c>
      <c r="M71" s="225" t="n">
        <f aca="false">$N51/$L71</f>
        <v>79.0122438759306</v>
      </c>
      <c r="N71" s="225" t="n">
        <f aca="false">$L71*$J26</f>
        <v>30.0201562099619</v>
      </c>
      <c r="O71" s="226" t="n">
        <f aca="false">$M71/$N71</f>
        <v>2.63197310911098</v>
      </c>
    </row>
    <row r="72" customFormat="false" ht="12.8" hidden="false" customHeight="false" outlineLevel="0" collapsed="false">
      <c r="A72" s="71"/>
      <c r="B72" s="71"/>
      <c r="C72" s="71"/>
      <c r="D72" s="71"/>
      <c r="E72" s="71"/>
      <c r="F72" s="71"/>
      <c r="L72" s="227" t="n">
        <f aca="false">$M54/$J$68</f>
        <v>25.3237538487796</v>
      </c>
      <c r="M72" s="228" t="n">
        <f aca="false">$N54/$L72</f>
        <v>73.2221561353262</v>
      </c>
      <c r="N72" s="228" t="n">
        <f aca="false">$L72*$J26</f>
        <v>43.3205700728332</v>
      </c>
      <c r="O72" s="229" t="n">
        <f aca="false">$M72/$N72</f>
        <v>1.69023990248098</v>
      </c>
    </row>
    <row r="73" customFormat="false" ht="12.8" hidden="false" customHeight="false" outlineLevel="0" collapsed="false">
      <c r="A73" s="71"/>
      <c r="B73" s="71"/>
      <c r="C73" s="71"/>
      <c r="D73" s="71"/>
      <c r="E73" s="71"/>
      <c r="F73" s="71"/>
      <c r="L73" s="230" t="n">
        <f aca="false">$M54/$J$69</f>
        <v>10.1295015395118</v>
      </c>
      <c r="M73" s="231" t="n">
        <f aca="false">$N54/$L73</f>
        <v>183.055390338316</v>
      </c>
      <c r="N73" s="231" t="n">
        <f aca="false">$L73*$J26</f>
        <v>17.3282280291333</v>
      </c>
      <c r="O73" s="232" t="n">
        <f aca="false">$M73/$N73</f>
        <v>10.5639993905062</v>
      </c>
    </row>
    <row r="74" customFormat="false" ht="12.8" hidden="false" customHeight="false" outlineLevel="0" collapsed="false">
      <c r="A74" s="71"/>
      <c r="B74" s="71"/>
      <c r="C74" s="71"/>
      <c r="D74" s="71"/>
      <c r="E74" s="71"/>
      <c r="F74" s="71"/>
      <c r="L74" s="86" t="n">
        <f aca="false">$M57/$J$68</f>
        <v>-40.0728975171662</v>
      </c>
      <c r="M74" s="87" t="n">
        <f aca="false">$N57/$L74</f>
        <v>19.780109458953</v>
      </c>
      <c r="N74" s="87" t="n">
        <f aca="false">$L74*$J34</f>
        <v>-19.0920846206147</v>
      </c>
      <c r="O74" s="122" t="n">
        <f aca="false">$M74/$N74</f>
        <v>-1.03603717729155</v>
      </c>
    </row>
    <row r="75" customFormat="false" ht="12.8" hidden="false" customHeight="false" outlineLevel="0" collapsed="false">
      <c r="A75" s="71"/>
      <c r="B75" s="71"/>
      <c r="C75" s="71"/>
      <c r="D75" s="71"/>
      <c r="E75" s="71"/>
      <c r="F75" s="71"/>
      <c r="L75" s="233" t="n">
        <f aca="false">$M57/$J$69</f>
        <v>-16.0291590068665</v>
      </c>
      <c r="M75" s="234" t="n">
        <f aca="false">$N57/$L75</f>
        <v>49.4502736473825</v>
      </c>
      <c r="N75" s="234" t="n">
        <f aca="false">$L75*$J34</f>
        <v>-7.63683384824588</v>
      </c>
      <c r="O75" s="235" t="n">
        <f aca="false">$M75/$N75</f>
        <v>-6.47523235807217</v>
      </c>
    </row>
    <row r="76" customFormat="false" ht="12.8" hidden="false" customHeight="false" outlineLevel="0" collapsed="false">
      <c r="A76" s="71"/>
      <c r="B76" s="71"/>
      <c r="C76" s="71"/>
      <c r="D76" s="71"/>
      <c r="E76" s="71"/>
      <c r="F76" s="71"/>
      <c r="L76" s="236" t="n">
        <f aca="false">$M60/$J$68</f>
        <v>22.8498672769533</v>
      </c>
      <c r="M76" s="237" t="n">
        <f aca="false">$N60/$L76</f>
        <v>88.7611475963962</v>
      </c>
      <c r="N76" s="237" t="n">
        <f aca="false">$L76*$J38</f>
        <v>96.1340011849878</v>
      </c>
      <c r="O76" s="238" t="n">
        <f aca="false">$M76/$N76</f>
        <v>0.923306494084188</v>
      </c>
    </row>
    <row r="77" customFormat="false" ht="12.8" hidden="false" customHeight="false" outlineLevel="0" collapsed="false">
      <c r="A77" s="71"/>
      <c r="B77" s="71"/>
      <c r="C77" s="71"/>
      <c r="D77" s="71"/>
      <c r="E77" s="71"/>
      <c r="F77" s="71"/>
      <c r="L77" s="239" t="n">
        <f aca="false">$M60/$J$69</f>
        <v>9.1399469107813</v>
      </c>
      <c r="M77" s="240" t="n">
        <f aca="false">$N60/$L77</f>
        <v>221.90286899099</v>
      </c>
      <c r="N77" s="240" t="n">
        <f aca="false">$L77*$J38</f>
        <v>38.4536004739951</v>
      </c>
      <c r="O77" s="241" t="n">
        <f aca="false">$M77/$N77</f>
        <v>5.77066558802617</v>
      </c>
    </row>
    <row r="78" customFormat="false" ht="12.8" hidden="false" customHeight="false" outlineLevel="0" collapsed="false">
      <c r="A78" s="71"/>
      <c r="B78" s="71"/>
      <c r="C78" s="71"/>
      <c r="D78" s="71"/>
      <c r="E78" s="71"/>
      <c r="F78" s="71"/>
      <c r="L78" s="242" t="n">
        <f aca="false">$M63/$J$68</f>
        <v>74.6207128069088</v>
      </c>
      <c r="M78" s="243" t="n">
        <f aca="false">$N63/$L78</f>
        <v>-3.62996813476795</v>
      </c>
      <c r="N78" s="243" t="n">
        <f aca="false">$L78*$J42</f>
        <v>-15.4615409413031</v>
      </c>
      <c r="O78" s="244" t="n">
        <f aca="false">$M78/$N78</f>
        <v>0.234774020813866</v>
      </c>
    </row>
    <row r="79" customFormat="false" ht="12.8" hidden="false" customHeight="false" outlineLevel="0" collapsed="false">
      <c r="A79" s="71"/>
      <c r="B79" s="71"/>
      <c r="C79" s="71"/>
      <c r="D79" s="71"/>
      <c r="E79" s="71"/>
      <c r="F79" s="71"/>
      <c r="L79" s="245" t="n">
        <f aca="false">$M63/$J$69</f>
        <v>29.8482851227635</v>
      </c>
      <c r="M79" s="246" t="n">
        <f aca="false">$N63/$L79</f>
        <v>-9.07492033691986</v>
      </c>
      <c r="N79" s="246" t="n">
        <f aca="false">$L79*$J42</f>
        <v>-6.18461637652125</v>
      </c>
      <c r="O79" s="247" t="n">
        <f aca="false">$M79/$N79</f>
        <v>1.46733763008666</v>
      </c>
    </row>
    <row r="80" customFormat="false" ht="12.8" hidden="false" customHeight="false" outlineLevel="0" collapsed="false">
      <c r="A80" s="71"/>
      <c r="B80" s="71"/>
      <c r="C80" s="71"/>
      <c r="D80" s="71"/>
      <c r="E80" s="71"/>
      <c r="F80" s="71"/>
    </row>
    <row r="81" customFormat="false" ht="12.8" hidden="false" customHeight="false" outlineLevel="0" collapsed="false">
      <c r="A81" s="71"/>
      <c r="B81" s="71"/>
      <c r="C81" s="71"/>
      <c r="D81" s="71"/>
      <c r="E81" s="71"/>
      <c r="F81" s="71"/>
    </row>
    <row r="82" customFormat="false" ht="12.8" hidden="false" customHeight="false" outlineLevel="0" collapsed="false">
      <c r="A82" s="71"/>
      <c r="B82" s="71"/>
      <c r="C82" s="71"/>
      <c r="D82" s="71"/>
      <c r="E82" s="71"/>
      <c r="F82" s="71"/>
      <c r="I82" s="200" t="s">
        <v>78</v>
      </c>
      <c r="J82" s="200"/>
      <c r="K82" s="200"/>
      <c r="L82" s="200"/>
      <c r="M82" s="200"/>
      <c r="N82" s="200"/>
      <c r="O82" s="200"/>
    </row>
    <row r="83" customFormat="false" ht="12.8" hidden="false" customHeight="false" outlineLevel="0" collapsed="false">
      <c r="A83" s="71"/>
      <c r="B83" s="71"/>
      <c r="C83" s="71"/>
      <c r="D83" s="71"/>
      <c r="E83" s="71"/>
      <c r="F83" s="71"/>
    </row>
    <row r="84" customFormat="false" ht="13.8" hidden="false" customHeight="false" outlineLevel="0" collapsed="false">
      <c r="A84" s="71"/>
      <c r="B84" s="71"/>
      <c r="C84" s="71"/>
      <c r="D84" s="71"/>
      <c r="E84" s="71"/>
      <c r="F84" s="71"/>
      <c r="I84" s="131" t="s">
        <v>62</v>
      </c>
      <c r="J84" s="200" t="s">
        <v>80</v>
      </c>
      <c r="K84" s="132" t="s">
        <v>81</v>
      </c>
      <c r="L84" s="133" t="s">
        <v>82</v>
      </c>
      <c r="N84" s="174" t="s">
        <v>83</v>
      </c>
    </row>
    <row r="85" customFormat="false" ht="13.8" hidden="false" customHeight="false" outlineLevel="0" collapsed="false">
      <c r="A85" s="71"/>
      <c r="B85" s="71"/>
      <c r="C85" s="71"/>
      <c r="D85" s="71"/>
      <c r="E85" s="71"/>
      <c r="F85" s="71"/>
      <c r="I85" s="131" t="n">
        <v>1</v>
      </c>
      <c r="J85" s="200" t="n">
        <f aca="false">I85/1000</f>
        <v>0.001</v>
      </c>
      <c r="K85" s="248" t="n">
        <v>30</v>
      </c>
      <c r="L85" s="249" t="n">
        <f aca="false">I85/K85</f>
        <v>0.0333333333333333</v>
      </c>
      <c r="N85" s="220" t="n">
        <v>2</v>
      </c>
    </row>
    <row r="86" customFormat="false" ht="12.8" hidden="false" customHeight="false" outlineLevel="0" collapsed="false">
      <c r="A86" s="71"/>
      <c r="B86" s="71"/>
      <c r="C86" s="71"/>
      <c r="D86" s="71"/>
      <c r="E86" s="71"/>
      <c r="F86" s="71"/>
    </row>
    <row r="87" customFormat="false" ht="13.8" hidden="false" customHeight="false" outlineLevel="0" collapsed="false">
      <c r="A87" s="71"/>
      <c r="B87" s="71"/>
      <c r="C87" s="71"/>
      <c r="D87" s="71"/>
      <c r="E87" s="71"/>
      <c r="F87" s="71"/>
      <c r="I87" s="211" t="s">
        <v>87</v>
      </c>
      <c r="J87" s="200" t="s">
        <v>88</v>
      </c>
      <c r="K87" s="133" t="s">
        <v>89</v>
      </c>
      <c r="M87" s="174" t="s">
        <v>90</v>
      </c>
      <c r="N87" s="174" t="s">
        <v>62</v>
      </c>
      <c r="O87" s="174" t="s">
        <v>91</v>
      </c>
    </row>
    <row r="88" customFormat="false" ht="12.8" hidden="false" customHeight="false" outlineLevel="0" collapsed="false">
      <c r="A88" s="71"/>
      <c r="B88" s="71"/>
      <c r="C88" s="71"/>
      <c r="D88" s="71"/>
      <c r="E88" s="71"/>
      <c r="F88" s="71"/>
      <c r="I88" s="217" t="n">
        <f aca="false">$O68*$L$85</f>
        <v>0.0221628875584081</v>
      </c>
      <c r="J88" s="218" t="n">
        <f aca="false">$I88/1000</f>
        <v>2.21628875584081E-005</v>
      </c>
      <c r="K88" s="218" t="n">
        <f aca="false">$J88*(1/$J$85)</f>
        <v>0.0221628875584081</v>
      </c>
      <c r="M88" s="217" t="n">
        <f aca="false">$K88/$N$85</f>
        <v>0.011081443779204</v>
      </c>
      <c r="N88" s="218" t="n">
        <f aca="false">$M88*$N68</f>
        <v>0.767276296890359</v>
      </c>
      <c r="O88" s="218" t="n">
        <f aca="false">($M48*$J22)/$N88</f>
        <v>180.481897471997</v>
      </c>
    </row>
    <row r="89" customFormat="false" ht="12.8" hidden="false" customHeight="false" outlineLevel="0" collapsed="false">
      <c r="A89" s="71"/>
      <c r="B89" s="71"/>
      <c r="C89" s="71"/>
      <c r="D89" s="71"/>
      <c r="E89" s="71"/>
      <c r="F89" s="71"/>
      <c r="I89" s="221" t="n">
        <f aca="false">$O69*$L$85</f>
        <v>0.13851804724005</v>
      </c>
      <c r="J89" s="222" t="n">
        <f aca="false">$I89/1000</f>
        <v>0.00013851804724005</v>
      </c>
      <c r="K89" s="222" t="n">
        <f aca="false">$J89*(1/$J$85)</f>
        <v>0.13851804724005</v>
      </c>
      <c r="M89" s="221" t="n">
        <f aca="false">$K89/$N$85</f>
        <v>0.0692590236200252</v>
      </c>
      <c r="N89" s="222" t="n">
        <f aca="false">$M89*$N69</f>
        <v>1.9181907422259</v>
      </c>
      <c r="O89" s="222" t="n">
        <f aca="false">($M48*$J22)/$N89</f>
        <v>72.1927589887988</v>
      </c>
    </row>
    <row r="90" customFormat="false" ht="12.8" hidden="false" customHeight="false" outlineLevel="0" collapsed="false">
      <c r="A90" s="71"/>
      <c r="B90" s="71"/>
      <c r="C90" s="71"/>
      <c r="D90" s="71"/>
      <c r="E90" s="71"/>
      <c r="F90" s="71"/>
      <c r="I90" s="98" t="n">
        <f aca="false">$O70*$L$85</f>
        <v>0.0140371899152585</v>
      </c>
      <c r="J90" s="100" t="n">
        <f aca="false">$I90/1000</f>
        <v>1.40371899152585E-005</v>
      </c>
      <c r="K90" s="100" t="n">
        <f aca="false">$J90*(1/$J$85)</f>
        <v>0.0140371899152585</v>
      </c>
      <c r="M90" s="98" t="n">
        <f aca="false">$K90/$N$85</f>
        <v>0.00701859495762927</v>
      </c>
      <c r="N90" s="100" t="n">
        <f aca="false">$M90*$N70</f>
        <v>0.526748292506204</v>
      </c>
      <c r="O90" s="100" t="n">
        <f aca="false">($M51*$J26)/$N90</f>
        <v>284.957318676153</v>
      </c>
    </row>
    <row r="91" customFormat="false" ht="12.8" hidden="false" customHeight="false" outlineLevel="0" collapsed="false">
      <c r="A91" s="71"/>
      <c r="B91" s="71"/>
      <c r="C91" s="71"/>
      <c r="D91" s="71"/>
      <c r="E91" s="71"/>
      <c r="F91" s="71"/>
      <c r="I91" s="224" t="n">
        <f aca="false">$O71*$L$85</f>
        <v>0.0877324369703658</v>
      </c>
      <c r="J91" s="225" t="n">
        <f aca="false">$I91/1000</f>
        <v>8.77324369703658E-005</v>
      </c>
      <c r="K91" s="225" t="n">
        <f aca="false">$J91*(1/$J$85)</f>
        <v>0.0877324369703658</v>
      </c>
      <c r="M91" s="224" t="n">
        <f aca="false">$K91/$N$85</f>
        <v>0.0438662184851829</v>
      </c>
      <c r="N91" s="225" t="n">
        <f aca="false">$M91*$N71</f>
        <v>1.31687073126551</v>
      </c>
      <c r="O91" s="225" t="n">
        <f aca="false">($M51*$J26)/$N91</f>
        <v>113.982927470461</v>
      </c>
    </row>
    <row r="92" customFormat="false" ht="12.8" hidden="false" customHeight="false" outlineLevel="0" collapsed="false">
      <c r="A92" s="71"/>
      <c r="B92" s="71"/>
      <c r="C92" s="71"/>
      <c r="D92" s="71"/>
      <c r="E92" s="71"/>
      <c r="F92" s="71"/>
      <c r="I92" s="227" t="n">
        <f aca="false">$O72*$L$85</f>
        <v>0.0563413300826995</v>
      </c>
      <c r="J92" s="228" t="n">
        <f aca="false">$I92/1000</f>
        <v>5.63413300826995E-005</v>
      </c>
      <c r="K92" s="228" t="n">
        <f aca="false">$J92*(1/$J$85)</f>
        <v>0.0563413300826995</v>
      </c>
      <c r="M92" s="227" t="n">
        <f aca="false">$K92/$N$85</f>
        <v>0.0281706650413497</v>
      </c>
      <c r="N92" s="228" t="n">
        <f aca="false">$M92*$N72</f>
        <v>1.2203692689221</v>
      </c>
      <c r="O92" s="228" t="n">
        <f aca="false">($M54*$J30)/$N92</f>
        <v>146.234298529905</v>
      </c>
    </row>
    <row r="93" customFormat="false" ht="12.8" hidden="false" customHeight="false" outlineLevel="0" collapsed="false">
      <c r="A93" s="71"/>
      <c r="B93" s="71"/>
      <c r="C93" s="71"/>
      <c r="D93" s="71"/>
      <c r="E93" s="71"/>
      <c r="F93" s="71"/>
      <c r="I93" s="230" t="n">
        <f aca="false">$O73*$L$85</f>
        <v>0.352133313016872</v>
      </c>
      <c r="J93" s="231" t="n">
        <f aca="false">$I93/1000</f>
        <v>0.000352133313016872</v>
      </c>
      <c r="K93" s="231" t="n">
        <f aca="false">$J93*(1/$J$85)</f>
        <v>0.352133313016872</v>
      </c>
      <c r="M93" s="230" t="n">
        <f aca="false">$K93/$N$85</f>
        <v>0.176066656508436</v>
      </c>
      <c r="N93" s="231" t="n">
        <f aca="false">$M93*$N73</f>
        <v>3.05092317230526</v>
      </c>
      <c r="O93" s="231" t="n">
        <f aca="false">($M54*$J30)/$N93</f>
        <v>58.4937194119619</v>
      </c>
    </row>
    <row r="94" customFormat="false" ht="12.8" hidden="false" customHeight="false" outlineLevel="0" collapsed="false">
      <c r="A94" s="71"/>
      <c r="B94" s="71"/>
      <c r="C94" s="71"/>
      <c r="D94" s="71"/>
      <c r="E94" s="71"/>
      <c r="F94" s="71"/>
      <c r="I94" s="86" t="n">
        <f aca="false">$O74*$L$85</f>
        <v>-0.0345345725763849</v>
      </c>
      <c r="J94" s="87" t="n">
        <f aca="false">$I94/1000</f>
        <v>-3.45345725763849E-005</v>
      </c>
      <c r="K94" s="87" t="n">
        <f aca="false">$J94*(1/$J$85)</f>
        <v>-0.0345345725763849</v>
      </c>
      <c r="M94" s="86" t="n">
        <f aca="false">$K94/$N$85</f>
        <v>-0.0172672862881924</v>
      </c>
      <c r="N94" s="87" t="n">
        <f aca="false">$M94*$N74</f>
        <v>0.32966849098255</v>
      </c>
      <c r="O94" s="87" t="n">
        <f aca="false">($M57*$J34)/$N94</f>
        <v>-115.825959367317</v>
      </c>
    </row>
    <row r="95" customFormat="false" ht="12.8" hidden="false" customHeight="false" outlineLevel="0" collapsed="false">
      <c r="A95" s="71"/>
      <c r="B95" s="71"/>
      <c r="C95" s="71"/>
      <c r="D95" s="71"/>
      <c r="E95" s="71"/>
      <c r="F95" s="71"/>
      <c r="I95" s="233" t="n">
        <f aca="false">$O75*$L$85</f>
        <v>-0.215841078602406</v>
      </c>
      <c r="J95" s="234" t="n">
        <f aca="false">$I95/1000</f>
        <v>-0.000215841078602406</v>
      </c>
      <c r="K95" s="234" t="n">
        <f aca="false">$J95*(1/$J$85)</f>
        <v>-0.215841078602406</v>
      </c>
      <c r="M95" s="233" t="n">
        <f aca="false">$K95/$N$85</f>
        <v>-0.107920539301203</v>
      </c>
      <c r="N95" s="234" t="n">
        <f aca="false">$M95*$N75</f>
        <v>0.824171227456375</v>
      </c>
      <c r="O95" s="234" t="n">
        <f aca="false">($M57*$J34)/$N95</f>
        <v>-46.3303837469266</v>
      </c>
    </row>
    <row r="96" customFormat="false" ht="12.8" hidden="false" customHeight="false" outlineLevel="0" collapsed="false">
      <c r="A96" s="71"/>
      <c r="B96" s="71"/>
      <c r="C96" s="71"/>
      <c r="D96" s="71"/>
      <c r="E96" s="71"/>
      <c r="F96" s="71"/>
      <c r="I96" s="236" t="n">
        <f aca="false">$O76*$L$85</f>
        <v>0.0307768831361396</v>
      </c>
      <c r="J96" s="237" t="n">
        <f aca="false">$I96/1000</f>
        <v>3.07768831361396E-005</v>
      </c>
      <c r="K96" s="237" t="n">
        <f aca="false">$J96*(1/$J$85)</f>
        <v>0.0307768831361396</v>
      </c>
      <c r="M96" s="236" t="n">
        <f aca="false">$K96/$N$85</f>
        <v>0.0153884415680698</v>
      </c>
      <c r="N96" s="237" t="n">
        <f aca="false">$M96*$N76</f>
        <v>1.47935245993994</v>
      </c>
      <c r="O96" s="237" t="n">
        <f aca="false">($M60*$J38)/$N96</f>
        <v>129.967676788655</v>
      </c>
    </row>
    <row r="97" customFormat="false" ht="12.8" hidden="false" customHeight="false" outlineLevel="0" collapsed="false">
      <c r="A97" s="71"/>
      <c r="B97" s="71"/>
      <c r="C97" s="71"/>
      <c r="D97" s="71"/>
      <c r="E97" s="71"/>
      <c r="F97" s="71"/>
      <c r="I97" s="239" t="n">
        <f aca="false">$O77*$L$85</f>
        <v>0.192355519600872</v>
      </c>
      <c r="J97" s="240" t="n">
        <f aca="false">$I97/1000</f>
        <v>0.000192355519600872</v>
      </c>
      <c r="K97" s="240" t="n">
        <f aca="false">$J97*(1/$J$85)</f>
        <v>0.192355519600872</v>
      </c>
      <c r="M97" s="239" t="n">
        <f aca="false">$K97/$N$85</f>
        <v>0.0961777598004362</v>
      </c>
      <c r="N97" s="240" t="n">
        <f aca="false">$M97*$N77</f>
        <v>3.69838114984984</v>
      </c>
      <c r="O97" s="240" t="n">
        <f aca="false">($M60*$J38)/$N97</f>
        <v>51.9870707154621</v>
      </c>
    </row>
    <row r="98" customFormat="false" ht="12.8" hidden="false" customHeight="false" outlineLevel="0" collapsed="false">
      <c r="A98" s="71"/>
      <c r="B98" s="71"/>
      <c r="C98" s="71"/>
      <c r="D98" s="71"/>
      <c r="E98" s="71"/>
      <c r="F98" s="71"/>
      <c r="I98" s="242" t="n">
        <f aca="false">$O78*$L$85</f>
        <v>0.00782580069379554</v>
      </c>
      <c r="J98" s="243" t="n">
        <f aca="false">$I98/1000</f>
        <v>7.82580069379554E-006</v>
      </c>
      <c r="K98" s="243" t="n">
        <f aca="false">$J98*(1/$J$85)</f>
        <v>0.00782580069379554</v>
      </c>
      <c r="M98" s="242" t="n">
        <f aca="false">$K98/$N$85</f>
        <v>0.00391290034689777</v>
      </c>
      <c r="N98" s="243" t="n">
        <f aca="false">$M98*$N78</f>
        <v>-0.0604994689127991</v>
      </c>
      <c r="O98" s="243" t="n">
        <f aca="false">($M63*$J42)/$N98</f>
        <v>511.129807224874</v>
      </c>
    </row>
    <row r="99" customFormat="false" ht="12.8" hidden="false" customHeight="false" outlineLevel="0" collapsed="false">
      <c r="A99" s="71"/>
      <c r="B99" s="71"/>
      <c r="C99" s="71"/>
      <c r="D99" s="71"/>
      <c r="E99" s="71"/>
      <c r="F99" s="71"/>
      <c r="I99" s="245" t="n">
        <f aca="false">$O79*$L$85</f>
        <v>0.0489112543362221</v>
      </c>
      <c r="J99" s="246" t="n">
        <f aca="false">$I99/1000</f>
        <v>4.89112543362221E-005</v>
      </c>
      <c r="K99" s="246" t="n">
        <f aca="false">$J99*(1/$J$85)</f>
        <v>0.0489112543362221</v>
      </c>
      <c r="M99" s="245" t="n">
        <f aca="false">$K99/$N$85</f>
        <v>0.0244556271681111</v>
      </c>
      <c r="N99" s="246" t="n">
        <f aca="false">$M99*$N79</f>
        <v>-0.151248672281998</v>
      </c>
      <c r="O99" s="246" t="n">
        <f aca="false">($M63*$J42)/$N99</f>
        <v>204.45192288995</v>
      </c>
    </row>
    <row r="100" customFormat="false" ht="12.8" hidden="false" customHeight="false" outlineLevel="0" collapsed="false">
      <c r="A100" s="189"/>
      <c r="B100" s="189"/>
      <c r="C100" s="189"/>
      <c r="D100" s="189"/>
      <c r="E100" s="189"/>
      <c r="F100" s="189"/>
    </row>
    <row r="101" customFormat="false" ht="12.8" hidden="false" customHeight="false" outlineLevel="0" collapsed="false">
      <c r="I101" s="200" t="s">
        <v>92</v>
      </c>
      <c r="J101" s="200"/>
      <c r="K101" s="200"/>
      <c r="L101" s="200"/>
      <c r="M101" s="200"/>
    </row>
    <row r="102" customFormat="false" ht="12.8" hidden="false" customHeight="false" outlineLevel="0" collapsed="false">
      <c r="I102" s="250"/>
      <c r="J102" s="250"/>
      <c r="K102" s="250"/>
      <c r="L102" s="250"/>
      <c r="M102" s="250"/>
    </row>
    <row r="103" customFormat="false" ht="12.8" hidden="false" customHeight="false" outlineLevel="0" collapsed="false">
      <c r="I103" s="200" t="s">
        <v>93</v>
      </c>
      <c r="J103" s="200"/>
      <c r="K103" s="200"/>
      <c r="L103" s="200"/>
      <c r="M103" s="200"/>
    </row>
    <row r="104" customFormat="false" ht="12.8" hidden="false" customHeight="false" outlineLevel="0" collapsed="false">
      <c r="I104" s="174" t="s">
        <v>64</v>
      </c>
      <c r="J104" s="250"/>
      <c r="K104" s="174" t="s">
        <v>94</v>
      </c>
      <c r="L104" s="174" t="s">
        <v>95</v>
      </c>
      <c r="M104" s="250"/>
    </row>
    <row r="105" customFormat="false" ht="12.8" hidden="false" customHeight="false" outlineLevel="0" collapsed="false">
      <c r="I105" s="251" t="n">
        <v>250</v>
      </c>
      <c r="J105" s="250"/>
      <c r="K105" s="176" t="n">
        <v>5</v>
      </c>
      <c r="L105" s="174" t="n">
        <f aca="false">(I105/1000)*K105</f>
        <v>1.25</v>
      </c>
      <c r="M105" s="250"/>
    </row>
    <row r="106" customFormat="false" ht="12.8" hidden="false" customHeight="false" outlineLevel="0" collapsed="false">
      <c r="I106" s="211" t="s">
        <v>39</v>
      </c>
      <c r="J106" s="200" t="s">
        <v>64</v>
      </c>
      <c r="K106" s="200" t="s">
        <v>96</v>
      </c>
      <c r="L106" s="200" t="s">
        <v>97</v>
      </c>
      <c r="M106" s="212" t="s">
        <v>98</v>
      </c>
    </row>
    <row r="107" customFormat="false" ht="12.8" hidden="false" customHeight="false" outlineLevel="0" collapsed="false">
      <c r="I107" s="252" t="s">
        <v>43</v>
      </c>
      <c r="J107" s="218" t="n">
        <f aca="false">($J$22/$N68)*$I$105</f>
        <v>8.26595607016326</v>
      </c>
      <c r="K107" s="218" t="n">
        <f aca="false">$J$19/$J$22</f>
        <v>0.436808902750213</v>
      </c>
      <c r="L107" s="218" t="n">
        <f aca="false">K107*$J107</f>
        <v>3.61064320118947</v>
      </c>
      <c r="M107" s="219" t="n">
        <f aca="false">L107*($O$3/1000)</f>
        <v>3.85774696545299</v>
      </c>
    </row>
    <row r="108" customFormat="false" ht="12.8" hidden="false" customHeight="false" outlineLevel="0" collapsed="false">
      <c r="I108" s="202" t="s">
        <v>44</v>
      </c>
      <c r="J108" s="218"/>
      <c r="K108" s="203" t="n">
        <f aca="false">$J$20/$J$22</f>
        <v>0.436808902750213</v>
      </c>
      <c r="L108" s="203" t="n">
        <f aca="false">K108*$J107</f>
        <v>3.61064320118947</v>
      </c>
      <c r="M108" s="204" t="n">
        <f aca="false">L108*($P$3/1000)</f>
        <v>3.22457169502647</v>
      </c>
    </row>
    <row r="109" customFormat="false" ht="12.8" hidden="false" customHeight="false" outlineLevel="0" collapsed="false">
      <c r="I109" s="202" t="s">
        <v>102</v>
      </c>
      <c r="J109" s="218"/>
      <c r="K109" s="203" t="n">
        <f aca="false">$J$21/$J$22</f>
        <v>0.126382194499575</v>
      </c>
      <c r="L109" s="203" t="n">
        <f aca="false">K109*$J107</f>
        <v>1.04466966778431</v>
      </c>
      <c r="M109" s="204" t="n">
        <f aca="false">L109*($Q$3/1000)</f>
        <v>1.31628378140824</v>
      </c>
    </row>
    <row r="110" customFormat="false" ht="12.8" hidden="false" customHeight="false" outlineLevel="0" collapsed="false">
      <c r="I110" s="253" t="s">
        <v>43</v>
      </c>
      <c r="J110" s="254" t="n">
        <f aca="false">($J$22/$N69)*$I$105</f>
        <v>20.6648901754082</v>
      </c>
      <c r="K110" s="254" t="n">
        <f aca="false">$J$19/$J$22</f>
        <v>0.436808902750213</v>
      </c>
      <c r="L110" s="254" t="n">
        <f aca="false">K110*$J110</f>
        <v>9.02660800297368</v>
      </c>
      <c r="M110" s="255" t="n">
        <f aca="false">L110*($O$3/1000)</f>
        <v>9.64436741363246</v>
      </c>
    </row>
    <row r="111" customFormat="false" ht="12.8" hidden="false" customHeight="false" outlineLevel="0" collapsed="false">
      <c r="I111" s="253" t="s">
        <v>44</v>
      </c>
      <c r="J111" s="254"/>
      <c r="K111" s="254" t="n">
        <f aca="false">$J$20/$J$22</f>
        <v>0.436808902750213</v>
      </c>
      <c r="L111" s="254" t="n">
        <f aca="false">K111*$J110</f>
        <v>9.02660800297368</v>
      </c>
      <c r="M111" s="255" t="n">
        <f aca="false">L111*($P$3/1000)</f>
        <v>8.06142923756618</v>
      </c>
    </row>
    <row r="112" customFormat="false" ht="12.8" hidden="false" customHeight="false" outlineLevel="0" collapsed="false">
      <c r="I112" s="253" t="s">
        <v>102</v>
      </c>
      <c r="J112" s="254"/>
      <c r="K112" s="254" t="n">
        <f aca="false">$J$21/$J$22</f>
        <v>0.126382194499575</v>
      </c>
      <c r="L112" s="254" t="n">
        <f aca="false">K112*$J110</f>
        <v>2.61167416946079</v>
      </c>
      <c r="M112" s="255" t="n">
        <f aca="false">L112*($Q$3/1000)</f>
        <v>3.29070945352059</v>
      </c>
    </row>
    <row r="113" customFormat="false" ht="12.8" hidden="false" customHeight="false" outlineLevel="0" collapsed="false">
      <c r="I113" s="181" t="s">
        <v>43</v>
      </c>
      <c r="J113" s="182" t="n">
        <f aca="false">($J$26/$N70)*$I$105</f>
        <v>5.69840263066015</v>
      </c>
      <c r="K113" s="104" t="n">
        <f aca="false">$J$23/$J$26</f>
        <v>0.584566495921078</v>
      </c>
      <c r="L113" s="104" t="n">
        <f aca="false">K113*$J113</f>
        <v>3.33109525815245</v>
      </c>
      <c r="M113" s="183" t="n">
        <f aca="false">L113*($O$3/1000)</f>
        <v>3.55906743140364</v>
      </c>
    </row>
    <row r="114" customFormat="false" ht="12.8" hidden="false" customHeight="false" outlineLevel="0" collapsed="false">
      <c r="I114" s="181" t="s">
        <v>44</v>
      </c>
      <c r="J114" s="182"/>
      <c r="K114" s="104" t="n">
        <f aca="false">$J$24/$J$26</f>
        <v>0.584566495921078</v>
      </c>
      <c r="L114" s="104" t="n">
        <f aca="false">K114*$J113</f>
        <v>3.33109525815245</v>
      </c>
      <c r="M114" s="183" t="n">
        <f aca="false">L114*($P$3/1000)</f>
        <v>2.97491468537703</v>
      </c>
    </row>
    <row r="115" customFormat="false" ht="12.8" hidden="false" customHeight="false" outlineLevel="0" collapsed="false">
      <c r="I115" s="181" t="s">
        <v>102</v>
      </c>
      <c r="J115" s="182"/>
      <c r="K115" s="104" t="n">
        <f aca="false">$J$25/$J$26</f>
        <v>-0.169132991842155</v>
      </c>
      <c r="L115" s="104" t="n">
        <f aca="false">K115*$J113</f>
        <v>-0.963787885644759</v>
      </c>
      <c r="M115" s="183" t="n">
        <f aca="false">L115*($Q$3/1000)</f>
        <v>-1.2143727359124</v>
      </c>
    </row>
    <row r="116" customFormat="false" ht="12.8" hidden="false" customHeight="false" outlineLevel="0" collapsed="false">
      <c r="I116" s="256" t="s">
        <v>43</v>
      </c>
      <c r="J116" s="257" t="n">
        <f aca="false">($J$26/$N71)*$I$105</f>
        <v>14.2460065766504</v>
      </c>
      <c r="K116" s="257" t="n">
        <f aca="false">$J$23/$J$26</f>
        <v>0.584566495921078</v>
      </c>
      <c r="L116" s="257" t="n">
        <f aca="false">K116*$J116</f>
        <v>8.32773814538113</v>
      </c>
      <c r="M116" s="258" t="n">
        <f aca="false">L116*($O$3/1000)</f>
        <v>8.89766857850911</v>
      </c>
    </row>
    <row r="117" customFormat="false" ht="12.8" hidden="false" customHeight="false" outlineLevel="0" collapsed="false">
      <c r="I117" s="256" t="s">
        <v>44</v>
      </c>
      <c r="J117" s="257"/>
      <c r="K117" s="257" t="n">
        <f aca="false">$J$24/$J$26</f>
        <v>0.584566495921078</v>
      </c>
      <c r="L117" s="257" t="n">
        <f aca="false">K117*$J116</f>
        <v>8.32773814538113</v>
      </c>
      <c r="M117" s="258" t="n">
        <f aca="false">L117*($P$3/1000)</f>
        <v>7.43728671344257</v>
      </c>
    </row>
    <row r="118" customFormat="false" ht="12.8" hidden="false" customHeight="false" outlineLevel="0" collapsed="false">
      <c r="I118" s="256" t="s">
        <v>102</v>
      </c>
      <c r="J118" s="257"/>
      <c r="K118" s="257" t="n">
        <f aca="false">$J$25/$J$26</f>
        <v>-0.169132991842155</v>
      </c>
      <c r="L118" s="257" t="n">
        <f aca="false">K118*$J116</f>
        <v>-2.4094697141119</v>
      </c>
      <c r="M118" s="258" t="n">
        <f aca="false">L118*($Q$3/1000)</f>
        <v>-3.03593183978099</v>
      </c>
    </row>
    <row r="119" customFormat="false" ht="12.8" hidden="false" customHeight="false" outlineLevel="0" collapsed="false">
      <c r="I119" s="184" t="s">
        <v>43</v>
      </c>
      <c r="J119" s="185" t="n">
        <f aca="false">($J$30/$N72)*$I$105</f>
        <v>20.3342554684148</v>
      </c>
      <c r="K119" s="185" t="n">
        <f aca="false">$J$27/$J$30</f>
        <v>0.283803384367446</v>
      </c>
      <c r="L119" s="185" t="n">
        <f aca="false">K119*$J119</f>
        <v>5.77093052052835</v>
      </c>
      <c r="M119" s="186" t="n">
        <f aca="false">L119*($O$3/1000)</f>
        <v>6.16587916969312</v>
      </c>
    </row>
    <row r="120" customFormat="false" ht="12.8" hidden="false" customHeight="false" outlineLevel="0" collapsed="false">
      <c r="I120" s="184" t="s">
        <v>44</v>
      </c>
      <c r="J120" s="185"/>
      <c r="K120" s="185" t="n">
        <f aca="false">$J$28/$J$30</f>
        <v>0.432393231265109</v>
      </c>
      <c r="L120" s="185" t="n">
        <f aca="false">K120*$J119</f>
        <v>8.79239442735807</v>
      </c>
      <c r="M120" s="186" t="n">
        <f aca="false">L120*($P$3/1000)</f>
        <v>7.85225917438401</v>
      </c>
    </row>
    <row r="121" customFormat="false" ht="12.8" hidden="false" customHeight="false" outlineLevel="0" collapsed="false">
      <c r="I121" s="184" t="s">
        <v>102</v>
      </c>
      <c r="J121" s="185"/>
      <c r="K121" s="185" t="n">
        <f aca="false">$J$29/$J$30</f>
        <v>0.283803384367446</v>
      </c>
      <c r="L121" s="185" t="n">
        <f aca="false">K121*$J119</f>
        <v>5.77093052052835</v>
      </c>
      <c r="M121" s="186" t="n">
        <f aca="false">L121*($Q$3/1000)</f>
        <v>7.27137245586572</v>
      </c>
    </row>
    <row r="122" customFormat="false" ht="12.8" hidden="false" customHeight="false" outlineLevel="0" collapsed="false">
      <c r="I122" s="259" t="s">
        <v>43</v>
      </c>
      <c r="J122" s="260" t="n">
        <f aca="false">($J$30/$N73)*$I$105</f>
        <v>50.8356386710369</v>
      </c>
      <c r="K122" s="260" t="n">
        <f aca="false">$J$27/$J$30</f>
        <v>0.283803384367446</v>
      </c>
      <c r="L122" s="260" t="n">
        <f aca="false">K122*$J122</f>
        <v>14.4273263013209</v>
      </c>
      <c r="M122" s="261" t="n">
        <f aca="false">L122*($O$3/1000)</f>
        <v>15.4146979242328</v>
      </c>
    </row>
    <row r="123" customFormat="false" ht="12.8" hidden="false" customHeight="false" outlineLevel="0" collapsed="false">
      <c r="I123" s="259" t="s">
        <v>44</v>
      </c>
      <c r="J123" s="260"/>
      <c r="K123" s="260" t="n">
        <f aca="false">$J$28/$J$30</f>
        <v>0.432393231265109</v>
      </c>
      <c r="L123" s="260" t="n">
        <f aca="false">K123*$J122</f>
        <v>21.9809860683952</v>
      </c>
      <c r="M123" s="261" t="n">
        <f aca="false">L123*($P$3/1000)</f>
        <v>19.63064793596</v>
      </c>
    </row>
    <row r="124" customFormat="false" ht="12.8" hidden="false" customHeight="false" outlineLevel="0" collapsed="false">
      <c r="I124" s="259" t="s">
        <v>102</v>
      </c>
      <c r="J124" s="260"/>
      <c r="K124" s="260" t="n">
        <f aca="false">$J$29/$J$30</f>
        <v>0.283803384367446</v>
      </c>
      <c r="L124" s="260" t="n">
        <f aca="false">K124*$J122</f>
        <v>14.4273263013209</v>
      </c>
      <c r="M124" s="261" t="n">
        <f aca="false">L124*($Q$3/1000)</f>
        <v>18.1784311396643</v>
      </c>
    </row>
    <row r="125" customFormat="false" ht="12.8" hidden="false" customHeight="false" outlineLevel="0" collapsed="false">
      <c r="I125" s="177" t="s">
        <v>43</v>
      </c>
      <c r="J125" s="178" t="n">
        <f aca="false">($J$34/$N74)*$I$105</f>
        <v>-6.23863048318146</v>
      </c>
      <c r="K125" s="92" t="n">
        <f aca="false">$J$31/$J$34</f>
        <v>2.09892729439809</v>
      </c>
      <c r="L125" s="92" t="n">
        <f aca="false">K125*$J125</f>
        <v>-13.0944318008135</v>
      </c>
      <c r="M125" s="179" t="n">
        <f aca="false">L125*($O$3/1000)</f>
        <v>-13.9905833196916</v>
      </c>
    </row>
    <row r="126" customFormat="false" ht="12.8" hidden="false" customHeight="false" outlineLevel="0" collapsed="false">
      <c r="I126" s="177" t="s">
        <v>44</v>
      </c>
      <c r="J126" s="178"/>
      <c r="K126" s="92" t="n">
        <f aca="false">$J$32/$J$34</f>
        <v>-3.19785458879618</v>
      </c>
      <c r="L126" s="92" t="n">
        <f aca="false">K126*$J125</f>
        <v>19.9502331184456</v>
      </c>
      <c r="M126" s="179" t="n">
        <f aca="false">L126*($P$3/1000)</f>
        <v>17.8170352035134</v>
      </c>
    </row>
    <row r="127" customFormat="false" ht="12.8" hidden="false" customHeight="false" outlineLevel="0" collapsed="false">
      <c r="I127" s="177" t="s">
        <v>102</v>
      </c>
      <c r="J127" s="178"/>
      <c r="K127" s="92" t="n">
        <f aca="false">$J$33/$J$34</f>
        <v>2.09892729439809</v>
      </c>
      <c r="L127" s="92" t="n">
        <f aca="false">K127*$J125</f>
        <v>-13.0944318008135</v>
      </c>
      <c r="M127" s="179" t="n">
        <f aca="false">L127*($Q$3/1000)</f>
        <v>-16.498984069025</v>
      </c>
    </row>
    <row r="128" customFormat="false" ht="12.8" hidden="false" customHeight="false" outlineLevel="0" collapsed="false">
      <c r="I128" s="262" t="s">
        <v>43</v>
      </c>
      <c r="J128" s="263" t="n">
        <f aca="false">($J$34/$N75)*$I$105</f>
        <v>-15.5965762079537</v>
      </c>
      <c r="K128" s="263" t="n">
        <f aca="false">$J$31/$J$34</f>
        <v>2.09892729439809</v>
      </c>
      <c r="L128" s="263" t="n">
        <f aca="false">K128*$J128</f>
        <v>-32.7360795020338</v>
      </c>
      <c r="M128" s="264" t="n">
        <f aca="false">L128*($O$3/1000)</f>
        <v>-34.9764582992291</v>
      </c>
    </row>
    <row r="129" customFormat="false" ht="12.8" hidden="false" customHeight="false" outlineLevel="0" collapsed="false">
      <c r="I129" s="262" t="s">
        <v>44</v>
      </c>
      <c r="J129" s="263"/>
      <c r="K129" s="263" t="n">
        <f aca="false">$J$32/$J$34</f>
        <v>-3.19785458879618</v>
      </c>
      <c r="L129" s="263" t="n">
        <f aca="false">K129*$J128</f>
        <v>49.875582796114</v>
      </c>
      <c r="M129" s="264" t="n">
        <f aca="false">L129*($P$3/1000)</f>
        <v>44.5425880087836</v>
      </c>
    </row>
    <row r="130" customFormat="false" ht="12.8" hidden="false" customHeight="false" outlineLevel="0" collapsed="false">
      <c r="I130" s="262" t="s">
        <v>102</v>
      </c>
      <c r="J130" s="263"/>
      <c r="K130" s="263" t="n">
        <f aca="false">$J$33/$J$34</f>
        <v>2.09892729439809</v>
      </c>
      <c r="L130" s="263" t="n">
        <f aca="false">K130*$J128</f>
        <v>-32.7360795020338</v>
      </c>
      <c r="M130" s="264" t="n">
        <f aca="false">L130*($Q$3/1000)</f>
        <v>-41.2474601725626</v>
      </c>
    </row>
    <row r="131" customFormat="false" ht="12.8" hidden="false" customHeight="false" outlineLevel="0" collapsed="false">
      <c r="I131" s="180" t="s">
        <v>43</v>
      </c>
      <c r="J131" s="125" t="n">
        <f aca="false">($J$38/$N76)*$I$105</f>
        <v>10.9409825873323</v>
      </c>
      <c r="K131" s="125" t="n">
        <f aca="false">$J$35/$J$38</f>
        <v>0.524624649025397</v>
      </c>
      <c r="L131" s="125" t="n">
        <f aca="false">K131*$J131</f>
        <v>5.73990914987219</v>
      </c>
      <c r="M131" s="126" t="n">
        <f aca="false">L131*($O$3/1000)</f>
        <v>6.1327347708022</v>
      </c>
    </row>
    <row r="132" customFormat="false" ht="12.8" hidden="false" customHeight="false" outlineLevel="0" collapsed="false">
      <c r="I132" s="180" t="s">
        <v>44</v>
      </c>
      <c r="J132" s="125"/>
      <c r="K132" s="125" t="n">
        <f aca="false">$J$36/$J$38</f>
        <v>0.237687675487302</v>
      </c>
      <c r="L132" s="125" t="n">
        <f aca="false">K132*$J131</f>
        <v>2.60053671873006</v>
      </c>
      <c r="M132" s="126" t="n">
        <f aca="false">L132*($P$3/1000)</f>
        <v>2.3224718222868</v>
      </c>
    </row>
    <row r="133" customFormat="false" ht="12.8" hidden="false" customHeight="false" outlineLevel="0" collapsed="false">
      <c r="I133" s="180" t="s">
        <v>102</v>
      </c>
      <c r="J133" s="125"/>
      <c r="K133" s="125" t="n">
        <f aca="false">$J$37/$J$38</f>
        <v>0.237687675487302</v>
      </c>
      <c r="L133" s="125" t="n">
        <f aca="false">K133*$J131</f>
        <v>2.60053671873006</v>
      </c>
      <c r="M133" s="126" t="n">
        <f aca="false">L133*($Q$3/1000)</f>
        <v>3.27667626559988</v>
      </c>
    </row>
    <row r="134" customFormat="false" ht="12.8" hidden="false" customHeight="false" outlineLevel="0" collapsed="false">
      <c r="I134" s="265" t="s">
        <v>43</v>
      </c>
      <c r="J134" s="266" t="n">
        <f aca="false">($J$38/$N77)*$I$105</f>
        <v>27.3524564683308</v>
      </c>
      <c r="K134" s="266" t="n">
        <f aca="false">$J$35/$J$38</f>
        <v>0.524624649025397</v>
      </c>
      <c r="L134" s="266" t="n">
        <f aca="false">K134*$J134</f>
        <v>14.3497728746805</v>
      </c>
      <c r="M134" s="267" t="n">
        <f aca="false">L134*($O$3/1000)</f>
        <v>15.3318369270055</v>
      </c>
    </row>
    <row r="135" customFormat="false" ht="12.8" hidden="false" customHeight="false" outlineLevel="0" collapsed="false">
      <c r="I135" s="265" t="s">
        <v>44</v>
      </c>
      <c r="J135" s="266"/>
      <c r="K135" s="266" t="n">
        <f aca="false">$J$36/$J$38</f>
        <v>0.237687675487302</v>
      </c>
      <c r="L135" s="266" t="n">
        <f aca="false">K135*$J134</f>
        <v>6.50134179682515</v>
      </c>
      <c r="M135" s="267" t="n">
        <f aca="false">L135*($P$3/1000)</f>
        <v>5.80617955571701</v>
      </c>
    </row>
    <row r="136" customFormat="false" ht="12.8" hidden="false" customHeight="false" outlineLevel="0" collapsed="false">
      <c r="I136" s="265" t="s">
        <v>102</v>
      </c>
      <c r="J136" s="266"/>
      <c r="K136" s="266" t="n">
        <f aca="false">$J$37/$J$38</f>
        <v>0.237687675487302</v>
      </c>
      <c r="L136" s="266" t="n">
        <f aca="false">K136*$J134</f>
        <v>6.50134179682515</v>
      </c>
      <c r="M136" s="267" t="n">
        <f aca="false">L136*($Q$3/1000)</f>
        <v>8.19169066399969</v>
      </c>
    </row>
    <row r="137" customFormat="false" ht="12.8" hidden="false" customHeight="false" outlineLevel="0" collapsed="false">
      <c r="I137" s="205" t="s">
        <v>43</v>
      </c>
      <c r="J137" s="206" t="n">
        <f aca="false">($J$42/$N79)*$I$105</f>
        <v>8.3756905621804</v>
      </c>
      <c r="K137" s="206" t="n">
        <f aca="false">$J$39/$J$42</f>
        <v>10.652428964253</v>
      </c>
      <c r="L137" s="206" t="n">
        <f aca="false">K137*$J137</f>
        <v>89.2214487401908</v>
      </c>
      <c r="M137" s="207" t="n">
        <f aca="false">L137*($O$3/1000)</f>
        <v>95.3275507857992</v>
      </c>
    </row>
    <row r="138" customFormat="false" ht="12.8" hidden="false" customHeight="false" outlineLevel="0" collapsed="false">
      <c r="I138" s="205" t="s">
        <v>44</v>
      </c>
      <c r="J138" s="206"/>
      <c r="K138" s="206" t="n">
        <f aca="false">$J$40/$J$42</f>
        <v>-4.82621448212649</v>
      </c>
      <c r="L138" s="206" t="n">
        <f aca="false">K138*$J137</f>
        <v>-40.4228790890052</v>
      </c>
      <c r="M138" s="207" t="n">
        <f aca="false">L138*($P$3/1000)</f>
        <v>-36.1006237611467</v>
      </c>
    </row>
    <row r="139" customFormat="false" ht="12.8" hidden="false" customHeight="false" outlineLevel="0" collapsed="false">
      <c r="I139" s="205" t="s">
        <v>102</v>
      </c>
      <c r="J139" s="206"/>
      <c r="K139" s="206" t="n">
        <f aca="false">$J$41/$J$42</f>
        <v>-4.82621448212649</v>
      </c>
      <c r="L139" s="206" t="n">
        <f aca="false">K139*$J137</f>
        <v>-40.4228790890052</v>
      </c>
      <c r="M139" s="207" t="n">
        <f aca="false">L139*($Q$3/1000)</f>
        <v>-50.9328276521465</v>
      </c>
    </row>
    <row r="140" customFormat="false" ht="12.8" hidden="false" customHeight="false" outlineLevel="0" collapsed="false">
      <c r="I140" s="268" t="s">
        <v>43</v>
      </c>
      <c r="J140" s="246" t="n">
        <f aca="false">($J$42/$N79)*$I$105</f>
        <v>8.3756905621804</v>
      </c>
      <c r="K140" s="269" t="n">
        <f aca="false">$J$39/$J$42</f>
        <v>10.652428964253</v>
      </c>
      <c r="L140" s="269" t="n">
        <f aca="false">K140*$J140</f>
        <v>89.2214487401908</v>
      </c>
      <c r="M140" s="270" t="n">
        <f aca="false">L140*($O$3/1000)</f>
        <v>95.3275507857992</v>
      </c>
    </row>
    <row r="141" customFormat="false" ht="12.8" hidden="false" customHeight="false" outlineLevel="0" collapsed="false">
      <c r="I141" s="268" t="s">
        <v>44</v>
      </c>
      <c r="J141" s="246"/>
      <c r="K141" s="269" t="n">
        <f aca="false">$J$40/$J$42</f>
        <v>-4.82621448212649</v>
      </c>
      <c r="L141" s="269" t="n">
        <f aca="false">K141*$J140</f>
        <v>-40.4228790890052</v>
      </c>
      <c r="M141" s="270" t="n">
        <f aca="false">L141*($P$3/1000)</f>
        <v>-36.1006237611467</v>
      </c>
    </row>
    <row r="142" customFormat="false" ht="12.8" hidden="false" customHeight="false" outlineLevel="0" collapsed="false">
      <c r="I142" s="271" t="s">
        <v>102</v>
      </c>
      <c r="J142" s="246"/>
      <c r="K142" s="246" t="n">
        <f aca="false">$J$41/$J$42</f>
        <v>-4.82621448212649</v>
      </c>
      <c r="L142" s="246" t="n">
        <f aca="false">K142*$J140</f>
        <v>-40.4228790890052</v>
      </c>
      <c r="M142" s="247" t="n">
        <f aca="false">L142*($Q$3/1000)</f>
        <v>-50.9328276521465</v>
      </c>
    </row>
    <row r="144" customFormat="false" ht="12.8" hidden="false" customHeight="false" outlineLevel="0" collapsed="false">
      <c r="I144" s="200" t="s">
        <v>99</v>
      </c>
      <c r="J144" s="200"/>
      <c r="K144" s="200"/>
      <c r="L144" s="200"/>
      <c r="M144" s="200"/>
    </row>
    <row r="145" customFormat="false" ht="12.8" hidden="false" customHeight="false" outlineLevel="0" collapsed="false">
      <c r="I145" s="174" t="s">
        <v>64</v>
      </c>
      <c r="J145" s="250"/>
      <c r="K145" s="174" t="s">
        <v>94</v>
      </c>
      <c r="L145" s="174" t="s">
        <v>95</v>
      </c>
      <c r="M145" s="250"/>
    </row>
    <row r="146" customFormat="false" ht="12.8" hidden="false" customHeight="false" outlineLevel="0" collapsed="false">
      <c r="I146" s="251" t="n">
        <v>500</v>
      </c>
      <c r="J146" s="250"/>
      <c r="K146" s="176" t="n">
        <v>10</v>
      </c>
      <c r="L146" s="174" t="n">
        <f aca="false">(I146/1000)*K146</f>
        <v>5</v>
      </c>
      <c r="M146" s="250"/>
    </row>
    <row r="147" customFormat="false" ht="12.8" hidden="false" customHeight="false" outlineLevel="0" collapsed="false">
      <c r="I147" s="211" t="s">
        <v>39</v>
      </c>
      <c r="J147" s="200" t="s">
        <v>64</v>
      </c>
      <c r="K147" s="200" t="s">
        <v>96</v>
      </c>
      <c r="L147" s="200" t="s">
        <v>97</v>
      </c>
      <c r="M147" s="212" t="s">
        <v>98</v>
      </c>
    </row>
    <row r="148" customFormat="false" ht="12.8" hidden="false" customHeight="false" outlineLevel="0" collapsed="false">
      <c r="I148" s="252" t="s">
        <v>43</v>
      </c>
      <c r="J148" s="218" t="n">
        <f aca="false">($J$22/$N88)*$I$146</f>
        <v>1491.85543596324</v>
      </c>
      <c r="K148" s="218" t="n">
        <f aca="false">$J$19/$J$22</f>
        <v>0.436808902750213</v>
      </c>
      <c r="L148" s="218" t="n">
        <f aca="false">K148*$J148</f>
        <v>651.655736045041</v>
      </c>
      <c r="M148" s="219" t="n">
        <f aca="false">L148*($O$3/1000)</f>
        <v>696.253492291793</v>
      </c>
    </row>
    <row r="149" customFormat="false" ht="12.8" hidden="false" customHeight="false" outlineLevel="0" collapsed="false">
      <c r="I149" s="202" t="s">
        <v>44</v>
      </c>
      <c r="J149" s="218"/>
      <c r="K149" s="203" t="n">
        <f aca="false">$J$20/$J$22</f>
        <v>0.436808902750213</v>
      </c>
      <c r="L149" s="203" t="n">
        <f aca="false">K149*$J148</f>
        <v>651.655736045041</v>
      </c>
      <c r="M149" s="204" t="n">
        <f aca="false">L149*($P$3/1000)</f>
        <v>581.976818052871</v>
      </c>
    </row>
    <row r="150" customFormat="false" ht="12.8" hidden="false" customHeight="false" outlineLevel="0" collapsed="false">
      <c r="I150" s="202" t="s">
        <v>102</v>
      </c>
      <c r="J150" s="218"/>
      <c r="K150" s="203" t="n">
        <f aca="false">$J$21/$J$22</f>
        <v>0.126382194499575</v>
      </c>
      <c r="L150" s="203" t="n">
        <f aca="false">K150*$J148</f>
        <v>188.543963873154</v>
      </c>
      <c r="M150" s="204" t="n">
        <f aca="false">L150*($Q$3/1000)</f>
        <v>237.565394480174</v>
      </c>
    </row>
    <row r="151" customFormat="false" ht="12.8" hidden="false" customHeight="false" outlineLevel="0" collapsed="false">
      <c r="I151" s="253" t="s">
        <v>43</v>
      </c>
      <c r="J151" s="254" t="n">
        <f aca="false">($J$22/$N89)*$I$146</f>
        <v>596.742174385294</v>
      </c>
      <c r="K151" s="254" t="n">
        <f aca="false">$J$19/$J$22</f>
        <v>0.436808902750213</v>
      </c>
      <c r="L151" s="254" t="n">
        <f aca="false">K151*$J151</f>
        <v>260.662294418017</v>
      </c>
      <c r="M151" s="255" t="n">
        <f aca="false">L151*($O$3/1000)</f>
        <v>278.501396916717</v>
      </c>
    </row>
    <row r="152" customFormat="false" ht="12.8" hidden="false" customHeight="false" outlineLevel="0" collapsed="false">
      <c r="I152" s="253" t="s">
        <v>44</v>
      </c>
      <c r="J152" s="254"/>
      <c r="K152" s="254" t="n">
        <f aca="false">$J$20/$J$22</f>
        <v>0.436808902750213</v>
      </c>
      <c r="L152" s="254" t="n">
        <f aca="false">K152*$J151</f>
        <v>260.662294418017</v>
      </c>
      <c r="M152" s="255" t="n">
        <f aca="false">L152*($P$3/1000)</f>
        <v>232.790727221148</v>
      </c>
    </row>
    <row r="153" customFormat="false" ht="12.8" hidden="false" customHeight="false" outlineLevel="0" collapsed="false">
      <c r="I153" s="253" t="s">
        <v>102</v>
      </c>
      <c r="J153" s="254"/>
      <c r="K153" s="254" t="n">
        <f aca="false">$J$21/$J$22</f>
        <v>0.126382194499575</v>
      </c>
      <c r="L153" s="254" t="n">
        <f aca="false">K153*$J151</f>
        <v>75.4175855492615</v>
      </c>
      <c r="M153" s="255" t="n">
        <f aca="false">L153*($Q$3/1000)</f>
        <v>95.0261577920694</v>
      </c>
    </row>
    <row r="154" customFormat="false" ht="12.8" hidden="false" customHeight="false" outlineLevel="0" collapsed="false">
      <c r="I154" s="181" t="s">
        <v>43</v>
      </c>
      <c r="J154" s="182" t="n">
        <f aca="false">($J$26/$N90)*$I$146</f>
        <v>1623.80153437005</v>
      </c>
      <c r="K154" s="104" t="n">
        <f aca="false">$J$23/$J$26</f>
        <v>0.584566495921078</v>
      </c>
      <c r="L154" s="104" t="n">
        <f aca="false">K154*$J154</f>
        <v>949.219973017969</v>
      </c>
      <c r="M154" s="183" t="n">
        <f aca="false">L154*($O$3/1000)</f>
        <v>1014.1823122404</v>
      </c>
    </row>
    <row r="155" customFormat="false" ht="12.8" hidden="false" customHeight="false" outlineLevel="0" collapsed="false">
      <c r="I155" s="181" t="s">
        <v>44</v>
      </c>
      <c r="J155" s="182"/>
      <c r="K155" s="104" t="n">
        <f aca="false">$J$24/$J$26</f>
        <v>0.584566495921078</v>
      </c>
      <c r="L155" s="104" t="n">
        <f aca="false">K155*$J154</f>
        <v>949.219973017969</v>
      </c>
      <c r="M155" s="183" t="n">
        <f aca="false">L155*($P$3/1000)</f>
        <v>847.723712035348</v>
      </c>
    </row>
    <row r="156" customFormat="false" ht="12.8" hidden="false" customHeight="false" outlineLevel="0" collapsed="false">
      <c r="I156" s="181" t="s">
        <v>102</v>
      </c>
      <c r="J156" s="182"/>
      <c r="K156" s="104" t="n">
        <f aca="false">$J$25/$J$26</f>
        <v>-0.169132991842155</v>
      </c>
      <c r="L156" s="104" t="n">
        <f aca="false">K156*$J154</f>
        <v>-274.638411665889</v>
      </c>
      <c r="M156" s="183" t="n">
        <f aca="false">L156*($Q$3/1000)</f>
        <v>-346.04439869902</v>
      </c>
    </row>
    <row r="157" customFormat="false" ht="12.8" hidden="false" customHeight="false" outlineLevel="0" collapsed="false">
      <c r="I157" s="256" t="s">
        <v>43</v>
      </c>
      <c r="J157" s="257" t="n">
        <f aca="false">($J$26/$N91)*$I$146</f>
        <v>649.52061374802</v>
      </c>
      <c r="K157" s="257" t="n">
        <f aca="false">$J$23/$J$26</f>
        <v>0.584566495921078</v>
      </c>
      <c r="L157" s="257" t="n">
        <f aca="false">K157*$J157</f>
        <v>379.687989207188</v>
      </c>
      <c r="M157" s="258" t="n">
        <f aca="false">L157*($O$3/1000)</f>
        <v>405.672924896161</v>
      </c>
    </row>
    <row r="158" customFormat="false" ht="12.8" hidden="false" customHeight="false" outlineLevel="0" collapsed="false">
      <c r="I158" s="256" t="s">
        <v>44</v>
      </c>
      <c r="J158" s="257"/>
      <c r="K158" s="257" t="n">
        <f aca="false">$J$24/$J$26</f>
        <v>0.584566495921078</v>
      </c>
      <c r="L158" s="257" t="n">
        <f aca="false">K158*$J157</f>
        <v>379.687989207188</v>
      </c>
      <c r="M158" s="258" t="n">
        <f aca="false">L158*($P$3/1000)</f>
        <v>339.089484814139</v>
      </c>
    </row>
    <row r="159" customFormat="false" ht="12.8" hidden="false" customHeight="false" outlineLevel="0" collapsed="false">
      <c r="I159" s="256" t="s">
        <v>102</v>
      </c>
      <c r="J159" s="257"/>
      <c r="K159" s="257" t="n">
        <f aca="false">$J$25/$J$26</f>
        <v>-0.169132991842155</v>
      </c>
      <c r="L159" s="257" t="n">
        <f aca="false">K159*$J157</f>
        <v>-109.855364666356</v>
      </c>
      <c r="M159" s="258" t="n">
        <f aca="false">L159*($Q$3/1000)</f>
        <v>-138.417759479608</v>
      </c>
    </row>
    <row r="160" customFormat="false" ht="12.8" hidden="false" customHeight="false" outlineLevel="0" collapsed="false">
      <c r="I160" s="184" t="s">
        <v>43</v>
      </c>
      <c r="J160" s="185" t="n">
        <f aca="false">($J$30/$N92)*$I$146</f>
        <v>1443.64752756582</v>
      </c>
      <c r="K160" s="185" t="n">
        <f aca="false">$J$27/$J$30</f>
        <v>0.283803384367446</v>
      </c>
      <c r="L160" s="185" t="n">
        <f aca="false">K160*$J160</f>
        <v>409.712054156876</v>
      </c>
      <c r="M160" s="186" t="n">
        <f aca="false">L160*($O$3/1000)</f>
        <v>437.751764869069</v>
      </c>
    </row>
    <row r="161" customFormat="false" ht="12.8" hidden="false" customHeight="false" outlineLevel="0" collapsed="false">
      <c r="I161" s="184" t="s">
        <v>44</v>
      </c>
      <c r="J161" s="185"/>
      <c r="K161" s="185" t="n">
        <f aca="false">$J$28/$J$30</f>
        <v>0.432393231265109</v>
      </c>
      <c r="L161" s="185" t="n">
        <f aca="false">K161*$J160</f>
        <v>624.223419252072</v>
      </c>
      <c r="M161" s="186" t="n">
        <f aca="false">L161*($P$3/1000)</f>
        <v>557.47772818698</v>
      </c>
    </row>
    <row r="162" customFormat="false" ht="12.8" hidden="false" customHeight="false" outlineLevel="0" collapsed="false">
      <c r="I162" s="184" t="s">
        <v>102</v>
      </c>
      <c r="J162" s="185"/>
      <c r="K162" s="185" t="n">
        <f aca="false">$J$29/$J$30</f>
        <v>0.283803384367446</v>
      </c>
      <c r="L162" s="185" t="n">
        <f aca="false">K162*$J160</f>
        <v>409.712054156876</v>
      </c>
      <c r="M162" s="186" t="n">
        <f aca="false">L162*($Q$3/1000)</f>
        <v>516.237188237664</v>
      </c>
    </row>
    <row r="163" customFormat="false" ht="12.8" hidden="false" customHeight="false" outlineLevel="0" collapsed="false">
      <c r="I163" s="259" t="s">
        <v>43</v>
      </c>
      <c r="J163" s="260" t="n">
        <f aca="false">($J$30/$N93)*$I$146</f>
        <v>577.459011026329</v>
      </c>
      <c r="K163" s="260" t="n">
        <f aca="false">$J$27/$J$30</f>
        <v>0.283803384367446</v>
      </c>
      <c r="L163" s="260" t="n">
        <f aca="false">K163*$J163</f>
        <v>163.88482166275</v>
      </c>
      <c r="M163" s="261" t="n">
        <f aca="false">L163*($O$3/1000)</f>
        <v>175.100705947628</v>
      </c>
    </row>
    <row r="164" customFormat="false" ht="12.8" hidden="false" customHeight="false" outlineLevel="0" collapsed="false">
      <c r="I164" s="259" t="s">
        <v>44</v>
      </c>
      <c r="J164" s="260"/>
      <c r="K164" s="260" t="n">
        <f aca="false">$J$28/$J$30</f>
        <v>0.432393231265109</v>
      </c>
      <c r="L164" s="260" t="n">
        <f aca="false">K164*$J163</f>
        <v>249.689367700829</v>
      </c>
      <c r="M164" s="261" t="n">
        <f aca="false">L164*($P$3/1000)</f>
        <v>222.991091274792</v>
      </c>
    </row>
    <row r="165" customFormat="false" ht="12.8" hidden="false" customHeight="false" outlineLevel="0" collapsed="false">
      <c r="I165" s="259" t="s">
        <v>102</v>
      </c>
      <c r="J165" s="260"/>
      <c r="K165" s="260" t="n">
        <f aca="false">$J$29/$J$30</f>
        <v>0.283803384367446</v>
      </c>
      <c r="L165" s="260" t="n">
        <f aca="false">K165*$J163</f>
        <v>163.88482166275</v>
      </c>
      <c r="M165" s="261" t="n">
        <f aca="false">L165*($Q$3/1000)</f>
        <v>206.494875295065</v>
      </c>
    </row>
    <row r="166" customFormat="false" ht="12.8" hidden="false" customHeight="false" outlineLevel="0" collapsed="false">
      <c r="I166" s="177" t="s">
        <v>43</v>
      </c>
      <c r="J166" s="178" t="n">
        <f aca="false">($J$34/$N94)*$I$146</f>
        <v>722.595360852679</v>
      </c>
      <c r="K166" s="92" t="n">
        <f aca="false">$J$31/$J$34</f>
        <v>2.09892729439809</v>
      </c>
      <c r="L166" s="92" t="n">
        <f aca="false">K166*$J166</f>
        <v>1516.67512569913</v>
      </c>
      <c r="M166" s="179" t="n">
        <f aca="false">L166*($O$3/1000)</f>
        <v>1620.47273511166</v>
      </c>
    </row>
    <row r="167" customFormat="false" ht="12.8" hidden="false" customHeight="false" outlineLevel="0" collapsed="false">
      <c r="I167" s="177" t="s">
        <v>44</v>
      </c>
      <c r="J167" s="178"/>
      <c r="K167" s="92" t="n">
        <f aca="false">$J$32/$J$34</f>
        <v>-3.19785458879618</v>
      </c>
      <c r="L167" s="92" t="n">
        <f aca="false">K167*$J166</f>
        <v>-2310.75489054557</v>
      </c>
      <c r="M167" s="179" t="n">
        <f aca="false">L167*($P$3/1000)</f>
        <v>-2063.6751955282</v>
      </c>
    </row>
    <row r="168" customFormat="false" ht="12.8" hidden="false" customHeight="false" outlineLevel="0" collapsed="false">
      <c r="I168" s="177" t="s">
        <v>102</v>
      </c>
      <c r="J168" s="178"/>
      <c r="K168" s="92" t="n">
        <f aca="false">$J$33/$J$34</f>
        <v>2.09892729439809</v>
      </c>
      <c r="L168" s="92" t="n">
        <f aca="false">K168*$J166</f>
        <v>1516.67512569913</v>
      </c>
      <c r="M168" s="179" t="n">
        <f aca="false">L168*($Q$3/1000)</f>
        <v>1911.0106583809</v>
      </c>
    </row>
    <row r="169" customFormat="false" ht="12.8" hidden="false" customHeight="false" outlineLevel="0" collapsed="false">
      <c r="I169" s="262" t="s">
        <v>43</v>
      </c>
      <c r="J169" s="263" t="n">
        <f aca="false">($J$34/$N95)*$I$146</f>
        <v>289.038144341071</v>
      </c>
      <c r="K169" s="263" t="n">
        <f aca="false">$J$31/$J$34</f>
        <v>2.09892729439809</v>
      </c>
      <c r="L169" s="263" t="n">
        <f aca="false">K169*$J169</f>
        <v>606.67005027965</v>
      </c>
      <c r="M169" s="264" t="n">
        <f aca="false">L169*($O$3/1000)</f>
        <v>648.189094044664</v>
      </c>
    </row>
    <row r="170" customFormat="false" ht="12.8" hidden="false" customHeight="false" outlineLevel="0" collapsed="false">
      <c r="I170" s="262" t="s">
        <v>44</v>
      </c>
      <c r="J170" s="263"/>
      <c r="K170" s="263" t="n">
        <f aca="false">$J$32/$J$34</f>
        <v>-3.19785458879618</v>
      </c>
      <c r="L170" s="263" t="n">
        <f aca="false">K170*$J169</f>
        <v>-924.301956218228</v>
      </c>
      <c r="M170" s="264" t="n">
        <f aca="false">L170*($P$3/1000)</f>
        <v>-825.470078211278</v>
      </c>
    </row>
    <row r="171" customFormat="false" ht="12.8" hidden="false" customHeight="false" outlineLevel="0" collapsed="false">
      <c r="I171" s="262" t="s">
        <v>102</v>
      </c>
      <c r="J171" s="263"/>
      <c r="K171" s="263" t="n">
        <f aca="false">$J$33/$J$34</f>
        <v>2.09892729439809</v>
      </c>
      <c r="L171" s="263" t="n">
        <f aca="false">K171*$J169</f>
        <v>606.67005027965</v>
      </c>
      <c r="M171" s="264" t="n">
        <f aca="false">L171*($Q$3/1000)</f>
        <v>764.404263352359</v>
      </c>
    </row>
    <row r="172" customFormat="false" ht="12.8" hidden="false" customHeight="false" outlineLevel="0" collapsed="false">
      <c r="I172" s="180" t="s">
        <v>43</v>
      </c>
      <c r="J172" s="125" t="n">
        <f aca="false">($J$38/$N96)*$I$146</f>
        <v>1421.97408866071</v>
      </c>
      <c r="K172" s="125" t="n">
        <f aca="false">$J$35/$J$38</f>
        <v>0.524624649025397</v>
      </c>
      <c r="L172" s="125" t="n">
        <f aca="false">K172*$J172</f>
        <v>746.002657186833</v>
      </c>
      <c r="M172" s="126" t="n">
        <f aca="false">L172*($O$3/1000)</f>
        <v>797.057290522168</v>
      </c>
    </row>
    <row r="173" customFormat="false" ht="12.8" hidden="false" customHeight="false" outlineLevel="0" collapsed="false">
      <c r="I173" s="180" t="s">
        <v>44</v>
      </c>
      <c r="J173" s="125"/>
      <c r="K173" s="125" t="n">
        <f aca="false">$J$36/$J$38</f>
        <v>0.237687675487302</v>
      </c>
      <c r="L173" s="125" t="n">
        <f aca="false">K173*$J172</f>
        <v>337.985715736938</v>
      </c>
      <c r="M173" s="126" t="n">
        <f aca="false">L173*($P$3/1000)</f>
        <v>301.84626714973</v>
      </c>
    </row>
    <row r="174" customFormat="false" ht="12.8" hidden="false" customHeight="false" outlineLevel="0" collapsed="false">
      <c r="I174" s="180" t="s">
        <v>102</v>
      </c>
      <c r="J174" s="125"/>
      <c r="K174" s="125" t="n">
        <f aca="false">$J$37/$J$38</f>
        <v>0.237687675487302</v>
      </c>
      <c r="L174" s="125" t="n">
        <f aca="false">K174*$J172</f>
        <v>337.985715736938</v>
      </c>
      <c r="M174" s="126" t="n">
        <f aca="false">L174*($Q$3/1000)</f>
        <v>425.862001828543</v>
      </c>
    </row>
    <row r="175" customFormat="false" ht="12.8" hidden="false" customHeight="false" outlineLevel="0" collapsed="false">
      <c r="I175" s="265" t="s">
        <v>43</v>
      </c>
      <c r="J175" s="266" t="n">
        <f aca="false">($J$38/$N97)*$I$146</f>
        <v>568.789635464284</v>
      </c>
      <c r="K175" s="266" t="n">
        <f aca="false">$J$35/$J$38</f>
        <v>0.524624649025397</v>
      </c>
      <c r="L175" s="266" t="n">
        <f aca="false">K175*$J175</f>
        <v>298.401062874733</v>
      </c>
      <c r="M175" s="267" t="n">
        <f aca="false">L175*($O$3/1000)</f>
        <v>318.822916208867</v>
      </c>
    </row>
    <row r="176" customFormat="false" ht="12.8" hidden="false" customHeight="false" outlineLevel="0" collapsed="false">
      <c r="I176" s="265" t="s">
        <v>44</v>
      </c>
      <c r="J176" s="266"/>
      <c r="K176" s="266" t="n">
        <f aca="false">$J$36/$J$38</f>
        <v>0.237687675487302</v>
      </c>
      <c r="L176" s="266" t="n">
        <f aca="false">K176*$J175</f>
        <v>135.194286294775</v>
      </c>
      <c r="M176" s="267" t="n">
        <f aca="false">L176*($P$3/1000)</f>
        <v>120.738506859892</v>
      </c>
    </row>
    <row r="177" customFormat="false" ht="12.8" hidden="false" customHeight="false" outlineLevel="0" collapsed="false">
      <c r="I177" s="265" t="s">
        <v>102</v>
      </c>
      <c r="J177" s="266"/>
      <c r="K177" s="266" t="n">
        <f aca="false">$J$37/$J$38</f>
        <v>0.237687675487302</v>
      </c>
      <c r="L177" s="266" t="n">
        <f aca="false">K177*$J175</f>
        <v>135.194286294775</v>
      </c>
      <c r="M177" s="267" t="n">
        <f aca="false">L177*($Q$3/1000)</f>
        <v>170.344800731417</v>
      </c>
    </row>
    <row r="178" customFormat="false" ht="12.8" hidden="false" customHeight="false" outlineLevel="0" collapsed="false">
      <c r="I178" s="205" t="s">
        <v>43</v>
      </c>
      <c r="J178" s="206" t="n">
        <f aca="false">($J$42/$N98)*$I$146</f>
        <v>1712.42604096899</v>
      </c>
      <c r="K178" s="206" t="n">
        <f aca="false">$J$39/$J$42</f>
        <v>10.652428964253</v>
      </c>
      <c r="L178" s="206" t="n">
        <f aca="false">K178*$J178</f>
        <v>18241.4967579591</v>
      </c>
      <c r="M178" s="207" t="n">
        <f aca="false">L178*($O$3/1000)</f>
        <v>19489.901062546</v>
      </c>
    </row>
    <row r="179" customFormat="false" ht="12.8" hidden="false" customHeight="false" outlineLevel="0" collapsed="false">
      <c r="I179" s="205" t="s">
        <v>44</v>
      </c>
      <c r="J179" s="206"/>
      <c r="K179" s="206" t="n">
        <f aca="false">$J$40/$J$42</f>
        <v>-4.82621448212649</v>
      </c>
      <c r="L179" s="206" t="n">
        <f aca="false">K179*$J178</f>
        <v>-8264.53535849505</v>
      </c>
      <c r="M179" s="207" t="n">
        <f aca="false">L179*($P$3/1000)</f>
        <v>-7380.84194549305</v>
      </c>
    </row>
    <row r="180" customFormat="false" ht="12.8" hidden="false" customHeight="false" outlineLevel="0" collapsed="false">
      <c r="I180" s="205" t="s">
        <v>102</v>
      </c>
      <c r="J180" s="206"/>
      <c r="K180" s="206" t="n">
        <f aca="false">$J$41/$J$42</f>
        <v>-4.82621448212649</v>
      </c>
      <c r="L180" s="206" t="n">
        <f aca="false">K180*$J178</f>
        <v>-8264.53535849505</v>
      </c>
      <c r="M180" s="207" t="n">
        <f aca="false">L180*($Q$3/1000)</f>
        <v>-10413.3145517038</v>
      </c>
    </row>
    <row r="181" customFormat="false" ht="12.8" hidden="false" customHeight="false" outlineLevel="0" collapsed="false">
      <c r="I181" s="268" t="s">
        <v>43</v>
      </c>
      <c r="J181" s="246" t="n">
        <f aca="false">($J$42/$N99)*$I$146</f>
        <v>684.970416387594</v>
      </c>
      <c r="K181" s="269" t="n">
        <f aca="false">$J$39/$J$42</f>
        <v>10.652428964253</v>
      </c>
      <c r="L181" s="269" t="n">
        <f aca="false">K181*$J181</f>
        <v>7296.59870318363</v>
      </c>
      <c r="M181" s="270" t="n">
        <f aca="false">L181*($O$3/1000)</f>
        <v>7795.96042501839</v>
      </c>
    </row>
    <row r="182" customFormat="false" ht="12.8" hidden="false" customHeight="false" outlineLevel="0" collapsed="false">
      <c r="I182" s="268" t="s">
        <v>44</v>
      </c>
      <c r="J182" s="246"/>
      <c r="K182" s="269" t="n">
        <f aca="false">$J$40/$J$42</f>
        <v>-4.82621448212649</v>
      </c>
      <c r="L182" s="269" t="n">
        <f aca="false">K182*$J181</f>
        <v>-3305.81414339802</v>
      </c>
      <c r="M182" s="270" t="n">
        <f aca="false">L182*($P$3/1000)</f>
        <v>-2952.33677819722</v>
      </c>
    </row>
    <row r="183" customFormat="false" ht="12.8" hidden="false" customHeight="false" outlineLevel="0" collapsed="false">
      <c r="I183" s="271" t="s">
        <v>102</v>
      </c>
      <c r="J183" s="246"/>
      <c r="K183" s="246" t="n">
        <f aca="false">$J$41/$J$42</f>
        <v>-4.82621448212649</v>
      </c>
      <c r="L183" s="246" t="n">
        <f aca="false">K183*$J181</f>
        <v>-3305.81414339802</v>
      </c>
      <c r="M183" s="247" t="n">
        <f aca="false">L183*($Q$3/1000)</f>
        <v>-4165.3258206815</v>
      </c>
    </row>
  </sheetData>
  <mergeCells count="117">
    <mergeCell ref="I10:O10"/>
    <mergeCell ref="I12:J12"/>
    <mergeCell ref="L18:M18"/>
    <mergeCell ref="N18:O18"/>
    <mergeCell ref="L19:M19"/>
    <mergeCell ref="N19:O19"/>
    <mergeCell ref="L20:M20"/>
    <mergeCell ref="N20:O20"/>
    <mergeCell ref="L21:M21"/>
    <mergeCell ref="N21:O21"/>
    <mergeCell ref="L22:M22"/>
    <mergeCell ref="N22:O22"/>
    <mergeCell ref="L23:M23"/>
    <mergeCell ref="N23:O23"/>
    <mergeCell ref="L24:M24"/>
    <mergeCell ref="N24:O24"/>
    <mergeCell ref="L25:M25"/>
    <mergeCell ref="N25:O25"/>
    <mergeCell ref="L26:M26"/>
    <mergeCell ref="N26:O26"/>
    <mergeCell ref="L27:M27"/>
    <mergeCell ref="N27:O27"/>
    <mergeCell ref="L28:M28"/>
    <mergeCell ref="N28:O28"/>
    <mergeCell ref="L29:M29"/>
    <mergeCell ref="N29:O29"/>
    <mergeCell ref="L30:M30"/>
    <mergeCell ref="N30:O30"/>
    <mergeCell ref="L31:M31"/>
    <mergeCell ref="N31:O31"/>
    <mergeCell ref="L32:M32"/>
    <mergeCell ref="N32:O32"/>
    <mergeCell ref="L33:M33"/>
    <mergeCell ref="N33:O33"/>
    <mergeCell ref="L34:M34"/>
    <mergeCell ref="N34:O34"/>
    <mergeCell ref="L35:M35"/>
    <mergeCell ref="N35:O35"/>
    <mergeCell ref="L36:M36"/>
    <mergeCell ref="N36:O36"/>
    <mergeCell ref="L37:M37"/>
    <mergeCell ref="N37:O37"/>
    <mergeCell ref="L38:M38"/>
    <mergeCell ref="N38:O38"/>
    <mergeCell ref="L39:M39"/>
    <mergeCell ref="N39:O39"/>
    <mergeCell ref="L40:M40"/>
    <mergeCell ref="N40:O40"/>
    <mergeCell ref="L41:M41"/>
    <mergeCell ref="N41:O41"/>
    <mergeCell ref="L42:M42"/>
    <mergeCell ref="N42:O42"/>
    <mergeCell ref="I45:P45"/>
    <mergeCell ref="K48:K50"/>
    <mergeCell ref="L48:L50"/>
    <mergeCell ref="M48:M50"/>
    <mergeCell ref="N48:N50"/>
    <mergeCell ref="O48:O50"/>
    <mergeCell ref="P48:P50"/>
    <mergeCell ref="K51:K53"/>
    <mergeCell ref="L51:L53"/>
    <mergeCell ref="M51:M53"/>
    <mergeCell ref="N51:N53"/>
    <mergeCell ref="O51:O53"/>
    <mergeCell ref="P51:P53"/>
    <mergeCell ref="K54:K56"/>
    <mergeCell ref="L54:L56"/>
    <mergeCell ref="M54:M56"/>
    <mergeCell ref="N54:N56"/>
    <mergeCell ref="O54:O56"/>
    <mergeCell ref="P54:P56"/>
    <mergeCell ref="K57:K59"/>
    <mergeCell ref="L57:L59"/>
    <mergeCell ref="M57:M59"/>
    <mergeCell ref="N57:N59"/>
    <mergeCell ref="O57:O59"/>
    <mergeCell ref="P57:P59"/>
    <mergeCell ref="K60:K62"/>
    <mergeCell ref="L60:L62"/>
    <mergeCell ref="M60:M62"/>
    <mergeCell ref="N60:N62"/>
    <mergeCell ref="O60:O62"/>
    <mergeCell ref="P60:P62"/>
    <mergeCell ref="K63:K65"/>
    <mergeCell ref="L63:L65"/>
    <mergeCell ref="M63:M65"/>
    <mergeCell ref="N63:N65"/>
    <mergeCell ref="O63:O65"/>
    <mergeCell ref="P63:P65"/>
    <mergeCell ref="I82:O82"/>
    <mergeCell ref="I101:M101"/>
    <mergeCell ref="I103:M103"/>
    <mergeCell ref="J107:J109"/>
    <mergeCell ref="J110:J112"/>
    <mergeCell ref="J113:J115"/>
    <mergeCell ref="J116:J118"/>
    <mergeCell ref="J119:J121"/>
    <mergeCell ref="J122:J124"/>
    <mergeCell ref="J125:J127"/>
    <mergeCell ref="J128:J130"/>
    <mergeCell ref="J131:J133"/>
    <mergeCell ref="J134:J136"/>
    <mergeCell ref="J137:J139"/>
    <mergeCell ref="J140:J142"/>
    <mergeCell ref="I144:M144"/>
    <mergeCell ref="J148:J150"/>
    <mergeCell ref="J151:J153"/>
    <mergeCell ref="J154:J156"/>
    <mergeCell ref="J157:J159"/>
    <mergeCell ref="J160:J162"/>
    <mergeCell ref="J163:J165"/>
    <mergeCell ref="J166:J168"/>
    <mergeCell ref="J169:J171"/>
    <mergeCell ref="J172:J174"/>
    <mergeCell ref="J175:J177"/>
    <mergeCell ref="J178:J180"/>
    <mergeCell ref="J181:J183"/>
  </mergeCells>
  <dataValidations count="1">
    <dataValidation allowBlank="true" errorStyle="stop" operator="equal" showDropDown="false" showErrorMessage="true" showInputMessage="false" sqref="J2:L2" type="list">
      <formula1>COV!$A$2:$A$100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8"/>
  <sheetViews>
    <sheetView showFormulas="false" showGridLines="true" showRowColHeaders="true" showZeros="true" rightToLeft="false" tabSelected="false" showOutlineSymbols="true" defaultGridColor="true" view="normal" topLeftCell="A43" colorId="64" zoomScale="100" zoomScaleNormal="100" zoomScalePageLayoutView="100" workbookViewId="0">
      <selection pane="topLeft" activeCell="B13" activeCellId="0" sqref="B1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8.54"/>
    <col collapsed="false" customWidth="true" hidden="false" outlineLevel="0" max="4" min="4" style="0" width="19.1"/>
    <col collapsed="false" customWidth="true" hidden="false" outlineLevel="0" max="5" min="5" style="0" width="17.71"/>
    <col collapsed="false" customWidth="true" hidden="false" outlineLevel="0" max="6" min="6" style="0" width="20.63"/>
    <col collapsed="false" customWidth="true" hidden="false" outlineLevel="0" max="8" min="8" style="0" width="17.71"/>
    <col collapsed="false" customWidth="true" hidden="false" outlineLevel="0" max="9" min="9" style="0" width="19.66"/>
    <col collapsed="false" customWidth="true" hidden="false" outlineLevel="0" max="10" min="10" style="0" width="16.13"/>
    <col collapsed="false" customWidth="true" hidden="false" outlineLevel="0" max="11" min="11" style="0" width="17.71"/>
    <col collapsed="false" customWidth="true" hidden="false" outlineLevel="0" max="12" min="12" style="0" width="19.66"/>
    <col collapsed="false" customWidth="true" hidden="false" outlineLevel="0" max="13" min="13" style="0" width="19.1"/>
  </cols>
  <sheetData>
    <row r="1" customFormat="false" ht="12.8" hidden="false" customHeight="false" outlineLevel="0" collapsed="false">
      <c r="A1" s="139" t="s">
        <v>106</v>
      </c>
      <c r="B1" s="272" t="s">
        <v>107</v>
      </c>
      <c r="C1" s="272" t="s">
        <v>108</v>
      </c>
      <c r="D1" s="272" t="s">
        <v>109</v>
      </c>
      <c r="E1" s="139"/>
      <c r="F1" s="52"/>
      <c r="G1" s="139"/>
      <c r="H1" s="52"/>
      <c r="I1" s="139"/>
      <c r="J1" s="139" t="s">
        <v>110</v>
      </c>
      <c r="K1" s="52"/>
      <c r="L1" s="174" t="s">
        <v>108</v>
      </c>
      <c r="M1" s="174" t="s">
        <v>109</v>
      </c>
    </row>
    <row r="2" customFormat="false" ht="12.8" hidden="false" customHeight="false" outlineLevel="0" collapsed="false">
      <c r="A2" s="139" t="s">
        <v>111</v>
      </c>
      <c r="B2" s="273" t="n">
        <v>0.3133</v>
      </c>
      <c r="C2" s="273" t="n">
        <v>0.1</v>
      </c>
      <c r="D2" s="273" t="n">
        <v>0.3</v>
      </c>
      <c r="E2" s="139"/>
      <c r="F2" s="52"/>
      <c r="G2" s="139"/>
      <c r="H2" s="52"/>
      <c r="I2" s="139"/>
      <c r="J2" s="52"/>
      <c r="K2" s="139"/>
      <c r="L2" s="274" t="n">
        <v>1</v>
      </c>
      <c r="M2" s="274" t="n">
        <v>1.5</v>
      </c>
    </row>
    <row r="3" customFormat="false" ht="12.8" hidden="false" customHeight="false" outlineLevel="0" collapsed="false">
      <c r="A3" s="139"/>
      <c r="B3" s="275" t="n">
        <v>0.4</v>
      </c>
      <c r="C3" s="275" t="n">
        <v>0.128</v>
      </c>
      <c r="D3" s="275" t="n">
        <v>0.4</v>
      </c>
      <c r="E3" s="139"/>
      <c r="F3" s="52"/>
      <c r="G3" s="139"/>
      <c r="H3" s="52"/>
      <c r="I3" s="139"/>
      <c r="J3" s="52"/>
      <c r="K3" s="139"/>
      <c r="L3" s="274" t="n">
        <v>5</v>
      </c>
      <c r="M3" s="274" t="n">
        <v>4</v>
      </c>
    </row>
    <row r="4" customFormat="false" ht="12.8" hidden="false" customHeight="false" outlineLevel="0" collapsed="false">
      <c r="A4" s="139"/>
      <c r="B4" s="275" t="n">
        <v>0.5</v>
      </c>
      <c r="C4" s="275" t="n">
        <v>0.16</v>
      </c>
      <c r="D4" s="275" t="n">
        <v>0.45</v>
      </c>
      <c r="E4" s="139"/>
      <c r="F4" s="52"/>
      <c r="G4" s="139"/>
      <c r="H4" s="52"/>
      <c r="I4" s="139"/>
      <c r="J4" s="52"/>
      <c r="K4" s="139"/>
      <c r="L4" s="274" t="n">
        <v>10</v>
      </c>
      <c r="M4" s="274" t="n">
        <v>8.9</v>
      </c>
    </row>
    <row r="5" customFormat="false" ht="12.8" hidden="false" customHeight="false" outlineLevel="0" collapsed="false">
      <c r="A5" s="139"/>
      <c r="B5" s="275" t="n">
        <v>0.6</v>
      </c>
      <c r="C5" s="275" t="n">
        <v>0.191</v>
      </c>
      <c r="D5" s="275" t="n">
        <v>0.59</v>
      </c>
      <c r="E5" s="139"/>
      <c r="F5" s="52"/>
      <c r="G5" s="139"/>
      <c r="H5" s="52"/>
      <c r="I5" s="139"/>
      <c r="J5" s="52"/>
      <c r="K5" s="139"/>
      <c r="L5" s="274" t="n">
        <v>15</v>
      </c>
      <c r="M5" s="274" t="n">
        <v>13.3</v>
      </c>
    </row>
    <row r="6" customFormat="false" ht="12.8" hidden="false" customHeight="false" outlineLevel="0" collapsed="false">
      <c r="A6" s="139"/>
      <c r="B6" s="275" t="n">
        <v>0.75</v>
      </c>
      <c r="C6" s="275" t="n">
        <v>0.239</v>
      </c>
      <c r="D6" s="275" t="n">
        <v>0.67</v>
      </c>
      <c r="E6" s="139"/>
      <c r="F6" s="52"/>
      <c r="G6" s="139"/>
      <c r="H6" s="52"/>
      <c r="I6" s="139"/>
      <c r="J6" s="52"/>
      <c r="K6" s="139"/>
      <c r="L6" s="274" t="n">
        <v>20</v>
      </c>
      <c r="M6" s="274" t="n">
        <v>17.5</v>
      </c>
    </row>
    <row r="7" customFormat="false" ht="12.8" hidden="false" customHeight="false" outlineLevel="0" collapsed="false">
      <c r="A7" s="139"/>
      <c r="B7" s="275" t="n">
        <v>0.8</v>
      </c>
      <c r="C7" s="275" t="n">
        <v>0.255</v>
      </c>
      <c r="D7" s="275" t="n">
        <v>0.92</v>
      </c>
      <c r="E7" s="139"/>
      <c r="F7" s="52"/>
      <c r="G7" s="139"/>
      <c r="H7" s="52"/>
      <c r="I7" s="139"/>
      <c r="J7" s="52"/>
      <c r="K7" s="139"/>
      <c r="L7" s="274" t="n">
        <v>30</v>
      </c>
      <c r="M7" s="274" t="n">
        <v>26</v>
      </c>
    </row>
    <row r="8" customFormat="false" ht="12.8" hidden="false" customHeight="false" outlineLevel="0" collapsed="false">
      <c r="A8" s="139"/>
      <c r="B8" s="275" t="n">
        <v>0.9</v>
      </c>
      <c r="C8" s="275" t="n">
        <v>0.287</v>
      </c>
      <c r="D8" s="275" t="n">
        <v>1.14</v>
      </c>
      <c r="E8" s="139"/>
      <c r="F8" s="52"/>
      <c r="G8" s="139"/>
      <c r="H8" s="52"/>
      <c r="I8" s="139"/>
      <c r="J8" s="52"/>
      <c r="K8" s="139"/>
      <c r="L8" s="274" t="n">
        <v>50</v>
      </c>
      <c r="M8" s="274" t="n">
        <v>44</v>
      </c>
    </row>
    <row r="9" customFormat="false" ht="12.8" hidden="false" customHeight="false" outlineLevel="0" collapsed="false">
      <c r="A9" s="139"/>
      <c r="B9" s="275" t="n">
        <v>1</v>
      </c>
      <c r="C9" s="275" t="n">
        <v>0.319</v>
      </c>
      <c r="D9" s="275" t="n">
        <v>1.16</v>
      </c>
      <c r="E9" s="139"/>
      <c r="F9" s="52"/>
      <c r="G9" s="139"/>
      <c r="H9" s="52"/>
      <c r="I9" s="139"/>
      <c r="J9" s="52"/>
      <c r="K9" s="139"/>
      <c r="L9" s="274" t="n">
        <v>80</v>
      </c>
      <c r="M9" s="274" t="n">
        <v>69</v>
      </c>
    </row>
    <row r="10" customFormat="false" ht="12.8" hidden="false" customHeight="false" outlineLevel="0" collapsed="false">
      <c r="A10" s="139"/>
      <c r="B10" s="275" t="n">
        <v>1.25</v>
      </c>
      <c r="C10" s="275" t="n">
        <v>0.399</v>
      </c>
      <c r="D10" s="275" t="n">
        <v>1.35</v>
      </c>
      <c r="E10" s="139"/>
      <c r="F10" s="52"/>
      <c r="G10" s="139"/>
      <c r="H10" s="52"/>
      <c r="I10" s="139"/>
      <c r="J10" s="52"/>
      <c r="K10" s="139"/>
      <c r="L10" s="274" t="n">
        <v>100</v>
      </c>
      <c r="M10" s="274" t="n">
        <v>87</v>
      </c>
    </row>
    <row r="11" customFormat="false" ht="12.8" hidden="false" customHeight="false" outlineLevel="0" collapsed="false">
      <c r="A11" s="139"/>
      <c r="B11" s="275" t="n">
        <v>1.5</v>
      </c>
      <c r="C11" s="275" t="n">
        <v>0.479</v>
      </c>
      <c r="D11" s="275" t="n">
        <v>1.43</v>
      </c>
      <c r="E11" s="139"/>
      <c r="F11" s="52"/>
      <c r="G11" s="139"/>
      <c r="H11" s="52"/>
      <c r="I11" s="139"/>
      <c r="J11" s="52"/>
      <c r="K11" s="139"/>
      <c r="L11" s="274" t="n">
        <v>120</v>
      </c>
      <c r="M11" s="274" t="n">
        <v>104</v>
      </c>
    </row>
    <row r="12" customFormat="false" ht="12.8" hidden="false" customHeight="false" outlineLevel="0" collapsed="false">
      <c r="A12" s="139"/>
      <c r="B12" s="276" t="n">
        <v>1.75</v>
      </c>
      <c r="C12" s="276" t="n">
        <v>0.559</v>
      </c>
      <c r="D12" s="276" t="n">
        <v>1.67</v>
      </c>
      <c r="E12" s="139"/>
      <c r="F12" s="52"/>
      <c r="G12" s="139"/>
      <c r="H12" s="52"/>
      <c r="I12" s="139"/>
      <c r="J12" s="52"/>
      <c r="K12" s="139"/>
      <c r="L12" s="277" t="n">
        <v>200</v>
      </c>
      <c r="M12" s="277" t="n">
        <v>168</v>
      </c>
    </row>
    <row r="13" customFormat="false" ht="12.8" hidden="false" customHeight="false" outlineLevel="0" collapsed="false">
      <c r="A13" s="139"/>
      <c r="B13" s="139"/>
      <c r="C13" s="139"/>
      <c r="D13" s="139"/>
      <c r="E13" s="139"/>
      <c r="F13" s="52"/>
      <c r="G13" s="139"/>
      <c r="H13" s="52"/>
      <c r="I13" s="139"/>
      <c r="J13" s="139"/>
      <c r="K13" s="139"/>
      <c r="L13" s="139"/>
      <c r="M13" s="139"/>
    </row>
    <row r="14" customFormat="false" ht="12.8" hidden="false" customHeight="false" outlineLevel="0" collapsed="false">
      <c r="A14" s="139"/>
      <c r="B14" s="139"/>
      <c r="C14" s="139"/>
      <c r="D14" s="139"/>
      <c r="E14" s="139"/>
      <c r="F14" s="52"/>
      <c r="G14" s="139"/>
      <c r="H14" s="52"/>
      <c r="I14" s="139"/>
      <c r="J14" s="139"/>
      <c r="K14" s="139"/>
      <c r="L14" s="139"/>
      <c r="M14" s="139"/>
    </row>
    <row r="15" customFormat="false" ht="12.8" hidden="false" customHeight="false" outlineLevel="0" collapsed="false">
      <c r="A15" s="139"/>
      <c r="B15" s="139"/>
      <c r="C15" s="139"/>
      <c r="D15" s="139"/>
      <c r="E15" s="139"/>
      <c r="F15" s="52"/>
      <c r="G15" s="139"/>
      <c r="H15" s="52"/>
      <c r="I15" s="139"/>
      <c r="J15" s="139"/>
      <c r="K15" s="139"/>
      <c r="L15" s="139"/>
      <c r="M15" s="139"/>
    </row>
    <row r="16" customFormat="false" ht="12.8" hidden="false" customHeight="false" outlineLevel="0" collapsed="false">
      <c r="A16" s="139"/>
      <c r="B16" s="139"/>
      <c r="C16" s="139"/>
      <c r="D16" s="139"/>
      <c r="E16" s="139"/>
      <c r="F16" s="52"/>
      <c r="G16" s="139"/>
      <c r="H16" s="52"/>
      <c r="I16" s="139"/>
      <c r="J16" s="139"/>
      <c r="K16" s="139"/>
      <c r="L16" s="139"/>
      <c r="M16" s="139"/>
    </row>
    <row r="17" customFormat="false" ht="12.8" hidden="false" customHeight="false" outlineLevel="0" collapsed="false">
      <c r="A17" s="139"/>
      <c r="B17" s="139"/>
      <c r="C17" s="139"/>
      <c r="D17" s="139"/>
      <c r="E17" s="139"/>
      <c r="F17" s="52"/>
      <c r="G17" s="139"/>
      <c r="H17" s="52"/>
      <c r="I17" s="139"/>
      <c r="J17" s="139"/>
      <c r="K17" s="139"/>
      <c r="L17" s="139"/>
      <c r="M17" s="139"/>
    </row>
    <row r="18" customFormat="false" ht="12.8" hidden="false" customHeight="false" outlineLevel="0" collapsed="false">
      <c r="A18" s="139"/>
      <c r="B18" s="139"/>
      <c r="C18" s="139"/>
      <c r="D18" s="139"/>
      <c r="E18" s="139"/>
      <c r="F18" s="52"/>
      <c r="G18" s="139"/>
      <c r="H18" s="52"/>
      <c r="I18" s="139"/>
      <c r="J18" s="139"/>
      <c r="K18" s="139"/>
      <c r="L18" s="139"/>
      <c r="M18" s="139"/>
    </row>
    <row r="19" customFormat="false" ht="12.8" hidden="false" customHeight="false" outlineLevel="0" collapsed="false">
      <c r="A19" s="139"/>
      <c r="B19" s="139"/>
      <c r="C19" s="139"/>
      <c r="D19" s="139"/>
      <c r="E19" s="139"/>
      <c r="F19" s="52"/>
      <c r="G19" s="139"/>
      <c r="H19" s="52"/>
      <c r="I19" s="139"/>
      <c r="J19" s="139"/>
      <c r="K19" s="139"/>
      <c r="L19" s="139"/>
      <c r="M19" s="139"/>
    </row>
    <row r="20" customFormat="false" ht="12.8" hidden="false" customHeight="false" outlineLevel="0" collapsed="false">
      <c r="A20" s="139"/>
      <c r="B20" s="139"/>
      <c r="C20" s="139"/>
      <c r="D20" s="139"/>
      <c r="E20" s="139"/>
      <c r="F20" s="52"/>
      <c r="G20" s="139"/>
      <c r="H20" s="52"/>
      <c r="I20" s="139"/>
      <c r="J20" s="139"/>
      <c r="K20" s="139"/>
      <c r="L20" s="139"/>
      <c r="M20" s="139"/>
    </row>
    <row r="21" customFormat="false" ht="12.8" hidden="false" customHeight="false" outlineLevel="0" collapsed="false">
      <c r="A21" s="139"/>
      <c r="B21" s="139"/>
      <c r="C21" s="139"/>
      <c r="D21" s="139"/>
      <c r="E21" s="139"/>
      <c r="F21" s="52"/>
      <c r="G21" s="139"/>
      <c r="H21" s="52"/>
      <c r="I21" s="139"/>
      <c r="J21" s="139"/>
      <c r="K21" s="139"/>
      <c r="L21" s="139"/>
      <c r="M21" s="139"/>
    </row>
    <row r="22" customFormat="false" ht="12.8" hidden="false" customHeight="false" outlineLevel="0" collapsed="false">
      <c r="A22" s="52"/>
      <c r="B22" s="52"/>
      <c r="C22" s="52"/>
      <c r="D22" s="52"/>
      <c r="E22" s="139"/>
      <c r="F22" s="52"/>
      <c r="G22" s="139"/>
      <c r="H22" s="52"/>
      <c r="I22" s="139"/>
      <c r="J22" s="52"/>
      <c r="K22" s="52"/>
      <c r="L22" s="52"/>
      <c r="M22" s="52"/>
    </row>
    <row r="23" customFormat="false" ht="12.8" hidden="false" customHeight="false" outlineLevel="0" collapsed="false">
      <c r="A23" s="52"/>
      <c r="B23" s="52"/>
      <c r="C23" s="52"/>
      <c r="D23" s="52"/>
      <c r="E23" s="139"/>
      <c r="F23" s="52"/>
      <c r="G23" s="139"/>
      <c r="H23" s="52"/>
      <c r="I23" s="139"/>
      <c r="J23" s="52"/>
      <c r="K23" s="52"/>
      <c r="L23" s="52"/>
      <c r="M23" s="52"/>
    </row>
    <row r="24" customFormat="false" ht="12.8" hidden="false" customHeight="false" outlineLevel="0" collapsed="false">
      <c r="A24" s="52"/>
      <c r="B24" s="52"/>
      <c r="C24" s="52"/>
      <c r="D24" s="52"/>
      <c r="E24" s="139"/>
      <c r="F24" s="52"/>
      <c r="G24" s="139"/>
      <c r="H24" s="52"/>
      <c r="I24" s="139"/>
    </row>
    <row r="25" customFormat="false" ht="12.8" hidden="false" customHeight="false" outlineLevel="0" collapsed="false">
      <c r="A25" s="139" t="s">
        <v>112</v>
      </c>
      <c r="B25" s="174" t="s">
        <v>107</v>
      </c>
      <c r="C25" s="174" t="s">
        <v>108</v>
      </c>
      <c r="D25" s="174" t="s">
        <v>109</v>
      </c>
      <c r="E25" s="139"/>
      <c r="F25" s="52"/>
      <c r="G25" s="139"/>
      <c r="H25" s="52"/>
      <c r="I25" s="139"/>
      <c r="J25" s="139" t="s">
        <v>113</v>
      </c>
      <c r="K25" s="174" t="s">
        <v>107</v>
      </c>
      <c r="L25" s="174" t="s">
        <v>108</v>
      </c>
      <c r="M25" s="174" t="s">
        <v>109</v>
      </c>
    </row>
    <row r="26" customFormat="false" ht="12.8" hidden="false" customHeight="false" outlineLevel="0" collapsed="false">
      <c r="A26" s="139" t="s">
        <v>114</v>
      </c>
      <c r="B26" s="273" t="n">
        <v>2</v>
      </c>
      <c r="C26" s="273" t="n">
        <v>0.67</v>
      </c>
      <c r="D26" s="273" t="n">
        <v>1.8</v>
      </c>
      <c r="E26" s="139"/>
      <c r="F26" s="52"/>
      <c r="G26" s="139"/>
      <c r="H26" s="52"/>
      <c r="I26" s="139"/>
      <c r="J26" s="139" t="s">
        <v>115</v>
      </c>
      <c r="K26" s="273" t="n">
        <v>1</v>
      </c>
      <c r="L26" s="273" t="n">
        <v>0.949</v>
      </c>
      <c r="M26" s="273" t="n">
        <v>3</v>
      </c>
    </row>
    <row r="27" customFormat="false" ht="12.8" hidden="false" customHeight="false" outlineLevel="0" collapsed="false">
      <c r="A27" s="139"/>
      <c r="B27" s="275" t="n">
        <v>2.5</v>
      </c>
      <c r="C27" s="275" t="n">
        <v>0.837</v>
      </c>
      <c r="D27" s="275" t="n">
        <v>2.4</v>
      </c>
      <c r="E27" s="139"/>
      <c r="F27" s="52"/>
      <c r="G27" s="139"/>
      <c r="H27" s="52"/>
      <c r="I27" s="139"/>
      <c r="J27" s="139" t="s">
        <v>116</v>
      </c>
      <c r="K27" s="275" t="n">
        <v>1.5</v>
      </c>
      <c r="L27" s="275" t="n">
        <v>1.424</v>
      </c>
      <c r="M27" s="275" t="n">
        <v>3.8</v>
      </c>
    </row>
    <row r="28" customFormat="false" ht="12.8" hidden="false" customHeight="false" outlineLevel="0" collapsed="false">
      <c r="A28" s="139"/>
      <c r="B28" s="275" t="n">
        <v>2.8</v>
      </c>
      <c r="C28" s="275" t="n">
        <v>0.938</v>
      </c>
      <c r="D28" s="275" t="n">
        <v>3</v>
      </c>
      <c r="E28" s="139"/>
      <c r="F28" s="52"/>
      <c r="G28" s="139"/>
      <c r="H28" s="52"/>
      <c r="I28" s="139"/>
      <c r="J28" s="139"/>
      <c r="K28" s="275" t="n">
        <v>1.8</v>
      </c>
      <c r="L28" s="275" t="n">
        <v>1.709</v>
      </c>
      <c r="M28" s="275" t="n">
        <v>5</v>
      </c>
    </row>
    <row r="29" customFormat="false" ht="12.8" hidden="false" customHeight="false" outlineLevel="0" collapsed="false">
      <c r="A29" s="139"/>
      <c r="B29" s="275" t="n">
        <v>3</v>
      </c>
      <c r="C29" s="275" t="n">
        <v>1.004</v>
      </c>
      <c r="D29" s="275" t="n">
        <v>3.2</v>
      </c>
      <c r="E29" s="139"/>
      <c r="F29" s="52"/>
      <c r="G29" s="139"/>
      <c r="H29" s="52"/>
      <c r="I29" s="139"/>
      <c r="J29" s="139"/>
      <c r="K29" s="275" t="n">
        <v>2</v>
      </c>
      <c r="L29" s="275" t="n">
        <v>1.899</v>
      </c>
      <c r="M29" s="275" t="n">
        <v>5.6</v>
      </c>
    </row>
    <row r="30" customFormat="false" ht="12.8" hidden="false" customHeight="false" outlineLevel="0" collapsed="false">
      <c r="A30" s="139"/>
      <c r="B30" s="275" t="n">
        <v>3.5</v>
      </c>
      <c r="C30" s="275" t="n">
        <v>1.172</v>
      </c>
      <c r="D30" s="275" t="n">
        <v>3.6</v>
      </c>
      <c r="E30" s="139"/>
      <c r="F30" s="52"/>
      <c r="G30" s="139"/>
      <c r="H30" s="52"/>
      <c r="I30" s="139"/>
      <c r="J30" s="139"/>
      <c r="K30" s="275" t="n">
        <v>2.5</v>
      </c>
      <c r="L30" s="275" t="n">
        <v>2.373</v>
      </c>
      <c r="M30" s="275" t="n">
        <v>6.8</v>
      </c>
    </row>
    <row r="31" customFormat="false" ht="12.8" hidden="false" customHeight="false" outlineLevel="0" collapsed="false">
      <c r="A31" s="139"/>
      <c r="B31" s="275" t="n">
        <v>4</v>
      </c>
      <c r="C31" s="275" t="n">
        <v>1.339</v>
      </c>
      <c r="D31" s="275" t="n">
        <v>4.2</v>
      </c>
      <c r="E31" s="139"/>
      <c r="F31" s="52"/>
      <c r="G31" s="139"/>
      <c r="H31" s="52"/>
      <c r="I31" s="139"/>
      <c r="J31" s="139"/>
      <c r="K31" s="275" t="n">
        <v>3</v>
      </c>
      <c r="L31" s="275" t="n">
        <v>2.848</v>
      </c>
      <c r="M31" s="275" t="n">
        <v>8.5</v>
      </c>
    </row>
    <row r="32" customFormat="false" ht="12.8" hidden="false" customHeight="false" outlineLevel="0" collapsed="false">
      <c r="A32" s="139"/>
      <c r="B32" s="275" t="n">
        <v>4.5</v>
      </c>
      <c r="C32" s="275" t="n">
        <v>1.507</v>
      </c>
      <c r="D32" s="275" t="n">
        <v>4.8</v>
      </c>
      <c r="E32" s="139"/>
      <c r="F32" s="52"/>
      <c r="G32" s="139"/>
      <c r="H32" s="52"/>
      <c r="I32" s="139"/>
      <c r="J32" s="139"/>
      <c r="K32" s="275" t="n">
        <v>3.5</v>
      </c>
      <c r="L32" s="275" t="n">
        <v>3.323</v>
      </c>
      <c r="M32" s="275" t="n">
        <v>10.5</v>
      </c>
    </row>
    <row r="33" customFormat="false" ht="12.8" hidden="false" customHeight="false" outlineLevel="0" collapsed="false">
      <c r="A33" s="139"/>
      <c r="B33" s="275" t="n">
        <v>5</v>
      </c>
      <c r="C33" s="275" t="n">
        <v>1.674</v>
      </c>
      <c r="D33" s="275" t="n">
        <v>5.4</v>
      </c>
      <c r="E33" s="139"/>
      <c r="F33" s="52"/>
      <c r="G33" s="139"/>
      <c r="H33" s="52"/>
      <c r="I33" s="139"/>
      <c r="J33" s="139"/>
      <c r="K33" s="275" t="n">
        <v>4</v>
      </c>
      <c r="L33" s="275" t="n">
        <v>3.797</v>
      </c>
      <c r="M33" s="275" t="n">
        <v>11.5</v>
      </c>
    </row>
    <row r="34" customFormat="false" ht="12.8" hidden="false" customHeight="false" outlineLevel="0" collapsed="false">
      <c r="A34" s="139"/>
      <c r="B34" s="275" t="n">
        <v>5.5</v>
      </c>
      <c r="C34" s="275" t="n">
        <v>1.842</v>
      </c>
      <c r="D34" s="275" t="n">
        <v>6</v>
      </c>
      <c r="E34" s="139"/>
      <c r="F34" s="52"/>
      <c r="G34" s="139"/>
      <c r="H34" s="52"/>
      <c r="I34" s="139"/>
      <c r="J34" s="139"/>
      <c r="K34" s="275" t="n">
        <v>4.5</v>
      </c>
      <c r="L34" s="275" t="n">
        <v>4.272</v>
      </c>
      <c r="M34" s="275" t="n">
        <v>13.4</v>
      </c>
    </row>
    <row r="35" customFormat="false" ht="12.8" hidden="false" customHeight="false" outlineLevel="0" collapsed="false">
      <c r="A35" s="139"/>
      <c r="B35" s="275" t="n">
        <v>6</v>
      </c>
      <c r="C35" s="275" t="n">
        <v>2.009</v>
      </c>
      <c r="D35" s="275" t="n">
        <v>6.4</v>
      </c>
      <c r="E35" s="139"/>
      <c r="F35" s="52"/>
      <c r="G35" s="139"/>
      <c r="H35" s="52"/>
      <c r="I35" s="139"/>
      <c r="J35" s="139"/>
      <c r="K35" s="275" t="n">
        <v>5</v>
      </c>
      <c r="L35" s="275" t="n">
        <v>4.747</v>
      </c>
      <c r="M35" s="275" t="n">
        <v>15</v>
      </c>
    </row>
    <row r="36" customFormat="false" ht="12.8" hidden="false" customHeight="false" outlineLevel="0" collapsed="false">
      <c r="A36" s="139"/>
      <c r="B36" s="276" t="n">
        <v>6.5</v>
      </c>
      <c r="C36" s="276" t="n">
        <v>2.176</v>
      </c>
      <c r="D36" s="276" t="n">
        <v>7.2</v>
      </c>
      <c r="E36" s="139"/>
      <c r="F36" s="52"/>
      <c r="G36" s="139"/>
      <c r="H36" s="52"/>
      <c r="I36" s="139"/>
      <c r="J36" s="139"/>
      <c r="K36" s="276" t="n">
        <v>5.5</v>
      </c>
      <c r="L36" s="276" t="n">
        <v>5.222</v>
      </c>
      <c r="M36" s="276" t="n">
        <v>17</v>
      </c>
    </row>
    <row r="37" customFormat="false" ht="12.8" hidden="false" customHeight="false" outlineLevel="0" collapsed="false">
      <c r="A37" s="139"/>
      <c r="B37" s="139"/>
      <c r="C37" s="139"/>
      <c r="D37" s="139"/>
      <c r="E37" s="139"/>
      <c r="F37" s="52"/>
      <c r="G37" s="139"/>
      <c r="H37" s="52"/>
      <c r="I37" s="139"/>
      <c r="J37" s="139"/>
      <c r="K37" s="139"/>
      <c r="L37" s="139"/>
      <c r="M37" s="139"/>
      <c r="N37" s="139"/>
      <c r="O37" s="139"/>
    </row>
    <row r="38" customFormat="false" ht="12.8" hidden="false" customHeight="false" outlineLevel="0" collapsed="false">
      <c r="A38" s="139"/>
      <c r="B38" s="139"/>
      <c r="C38" s="139"/>
      <c r="D38" s="139"/>
      <c r="E38" s="139"/>
      <c r="F38" s="52"/>
      <c r="G38" s="139"/>
      <c r="H38" s="52"/>
      <c r="I38" s="139"/>
      <c r="J38" s="139"/>
      <c r="K38" s="139"/>
      <c r="L38" s="139"/>
      <c r="M38" s="139"/>
      <c r="N38" s="139"/>
      <c r="O38" s="139"/>
    </row>
    <row r="39" customFormat="false" ht="12.8" hidden="false" customHeight="false" outlineLevel="0" collapsed="false">
      <c r="A39" s="250"/>
      <c r="B39" s="250"/>
      <c r="C39" s="250"/>
      <c r="D39" s="250"/>
      <c r="E39" s="250"/>
      <c r="G39" s="250"/>
      <c r="I39" s="250"/>
      <c r="J39" s="250"/>
      <c r="K39" s="250"/>
      <c r="L39" s="250"/>
      <c r="M39" s="250"/>
      <c r="N39" s="250"/>
      <c r="O39" s="250"/>
    </row>
    <row r="40" customFormat="false" ht="12.8" hidden="false" customHeight="false" outlineLevel="0" collapsed="false">
      <c r="A40" s="250"/>
      <c r="B40" s="250"/>
      <c r="C40" s="250"/>
      <c r="D40" s="250"/>
      <c r="E40" s="250"/>
      <c r="G40" s="250"/>
      <c r="I40" s="250"/>
      <c r="J40" s="250"/>
      <c r="K40" s="250"/>
      <c r="L40" s="250"/>
      <c r="M40" s="250"/>
      <c r="N40" s="250"/>
      <c r="O40" s="250"/>
    </row>
    <row r="41" customFormat="false" ht="12.8" hidden="false" customHeight="false" outlineLevel="0" collapsed="false">
      <c r="A41" s="250"/>
      <c r="B41" s="250"/>
      <c r="C41" s="250"/>
      <c r="D41" s="250"/>
      <c r="E41" s="250"/>
      <c r="G41" s="250"/>
      <c r="I41" s="250"/>
      <c r="J41" s="250"/>
      <c r="K41" s="250"/>
      <c r="L41" s="250"/>
      <c r="M41" s="250"/>
      <c r="N41" s="250"/>
      <c r="O41" s="250"/>
    </row>
    <row r="42" customFormat="false" ht="12.8" hidden="false" customHeight="false" outlineLevel="0" collapsed="false">
      <c r="A42" s="250"/>
      <c r="B42" s="250"/>
      <c r="C42" s="250"/>
      <c r="D42" s="250"/>
      <c r="E42" s="250"/>
      <c r="G42" s="250"/>
      <c r="I42" s="250"/>
      <c r="J42" s="250"/>
      <c r="K42" s="250"/>
      <c r="L42" s="250"/>
      <c r="M42" s="250"/>
      <c r="N42" s="250"/>
      <c r="O42" s="250"/>
    </row>
    <row r="43" customFormat="false" ht="12.8" hidden="false" customHeight="false" outlineLevel="0" collapsed="false">
      <c r="A43" s="250"/>
      <c r="B43" s="250"/>
      <c r="C43" s="250"/>
      <c r="D43" s="250"/>
      <c r="E43" s="250"/>
      <c r="G43" s="250"/>
      <c r="I43" s="250"/>
      <c r="J43" s="250"/>
      <c r="K43" s="250"/>
      <c r="L43" s="250"/>
      <c r="M43" s="250"/>
      <c r="N43" s="250"/>
      <c r="O43" s="250"/>
    </row>
    <row r="44" customFormat="false" ht="12.8" hidden="false" customHeight="false" outlineLevel="0" collapsed="false">
      <c r="A44" s="250"/>
      <c r="B44" s="250"/>
      <c r="C44" s="250"/>
      <c r="D44" s="250"/>
      <c r="E44" s="250"/>
      <c r="G44" s="250"/>
      <c r="I44" s="250"/>
      <c r="J44" s="250"/>
      <c r="K44" s="250"/>
      <c r="L44" s="250"/>
      <c r="M44" s="250"/>
      <c r="N44" s="250"/>
      <c r="O44" s="250"/>
    </row>
    <row r="45" customFormat="false" ht="12.8" hidden="false" customHeight="false" outlineLevel="0" collapsed="false">
      <c r="A45" s="250"/>
      <c r="B45" s="250"/>
      <c r="C45" s="250"/>
      <c r="D45" s="250"/>
      <c r="E45" s="250"/>
      <c r="G45" s="250"/>
      <c r="I45" s="250"/>
      <c r="J45" s="250"/>
      <c r="K45" s="250"/>
      <c r="L45" s="250"/>
      <c r="M45" s="250"/>
      <c r="N45" s="250"/>
      <c r="O45" s="250"/>
    </row>
    <row r="46" customFormat="false" ht="12.8" hidden="false" customHeight="false" outlineLevel="0" collapsed="false">
      <c r="A46" s="250"/>
      <c r="B46" s="250"/>
      <c r="C46" s="250"/>
      <c r="D46" s="250"/>
      <c r="E46" s="250"/>
      <c r="G46" s="250"/>
      <c r="I46" s="250"/>
      <c r="J46" s="250"/>
      <c r="K46" s="250"/>
      <c r="L46" s="250"/>
      <c r="M46" s="250"/>
      <c r="N46" s="250"/>
      <c r="O46" s="250"/>
    </row>
    <row r="47" customFormat="false" ht="12.8" hidden="false" customHeight="false" outlineLevel="0" collapsed="false">
      <c r="A47" s="250"/>
      <c r="B47" s="250"/>
      <c r="C47" s="250"/>
      <c r="D47" s="250"/>
      <c r="E47" s="250"/>
      <c r="G47" s="250"/>
      <c r="I47" s="250"/>
      <c r="J47" s="250"/>
      <c r="K47" s="250"/>
      <c r="L47" s="250"/>
      <c r="M47" s="250"/>
      <c r="N47" s="250"/>
      <c r="O47" s="250"/>
    </row>
    <row r="48" customFormat="false" ht="12.8" hidden="false" customHeight="false" outlineLevel="0" collapsed="false">
      <c r="A48" s="250"/>
      <c r="B48" s="250"/>
      <c r="C48" s="250"/>
      <c r="D48" s="250"/>
      <c r="E48" s="250"/>
      <c r="G48" s="250"/>
      <c r="I48" s="250"/>
      <c r="J48" s="250"/>
      <c r="K48" s="250"/>
      <c r="L48" s="250"/>
      <c r="M48" s="250"/>
      <c r="N48" s="250"/>
      <c r="O48" s="250"/>
    </row>
    <row r="49" customFormat="false" ht="12.8" hidden="false" customHeight="false" outlineLevel="0" collapsed="false">
      <c r="A49" s="250"/>
      <c r="B49" s="250"/>
      <c r="C49" s="250"/>
      <c r="D49" s="250"/>
      <c r="E49" s="250"/>
      <c r="G49" s="250"/>
      <c r="I49" s="250"/>
      <c r="J49" s="250"/>
      <c r="K49" s="250"/>
      <c r="L49" s="250"/>
      <c r="M49" s="250"/>
      <c r="N49" s="250"/>
      <c r="O49" s="250"/>
    </row>
    <row r="50" customFormat="false" ht="12.8" hidden="false" customHeight="false" outlineLevel="0" collapsed="false">
      <c r="A50" s="250"/>
      <c r="B50" s="250"/>
      <c r="C50" s="250"/>
      <c r="D50" s="250"/>
      <c r="E50" s="250"/>
      <c r="G50" s="250"/>
      <c r="I50" s="250"/>
      <c r="J50" s="250"/>
      <c r="K50" s="250"/>
      <c r="L50" s="250"/>
      <c r="M50" s="250"/>
      <c r="N50" s="250"/>
      <c r="O50" s="250"/>
    </row>
    <row r="51" customFormat="false" ht="12.8" hidden="false" customHeight="false" outlineLevel="0" collapsed="false">
      <c r="A51" s="250"/>
      <c r="B51" s="250"/>
      <c r="C51" s="250"/>
      <c r="D51" s="250"/>
      <c r="E51" s="250"/>
      <c r="G51" s="250"/>
      <c r="I51" s="250"/>
      <c r="J51" s="250"/>
      <c r="K51" s="250"/>
      <c r="L51" s="250"/>
      <c r="M51" s="250"/>
      <c r="N51" s="250"/>
      <c r="O51" s="250"/>
    </row>
    <row r="52" customFormat="false" ht="12.8" hidden="false" customHeight="false" outlineLevel="0" collapsed="false">
      <c r="A52" s="250"/>
      <c r="B52" s="250"/>
      <c r="C52" s="250"/>
      <c r="D52" s="250"/>
      <c r="E52" s="250"/>
      <c r="G52" s="250"/>
      <c r="I52" s="250"/>
      <c r="J52" s="250"/>
      <c r="K52" s="250"/>
      <c r="L52" s="250"/>
      <c r="M52" s="250"/>
      <c r="N52" s="250"/>
      <c r="O52" s="250"/>
    </row>
    <row r="53" customFormat="false" ht="12.8" hidden="false" customHeight="false" outlineLevel="0" collapsed="false">
      <c r="C53" s="139"/>
      <c r="D53" s="139"/>
      <c r="E53" s="139"/>
      <c r="F53" s="52"/>
      <c r="G53" s="52"/>
      <c r="H53" s="174" t="s">
        <v>117</v>
      </c>
      <c r="I53" s="174"/>
      <c r="J53" s="174"/>
      <c r="K53" s="174"/>
      <c r="L53" s="174"/>
      <c r="M53" s="250"/>
      <c r="N53" s="250"/>
      <c r="O53" s="250"/>
    </row>
    <row r="54" customFormat="false" ht="12.8" hidden="false" customHeight="false" outlineLevel="0" collapsed="false">
      <c r="C54" s="139"/>
      <c r="D54" s="139"/>
      <c r="E54" s="174" t="s">
        <v>118</v>
      </c>
      <c r="F54" s="174"/>
      <c r="G54" s="52"/>
      <c r="H54" s="174" t="s">
        <v>119</v>
      </c>
      <c r="I54" s="174"/>
      <c r="J54" s="52"/>
      <c r="K54" s="174" t="s">
        <v>120</v>
      </c>
      <c r="L54" s="174"/>
      <c r="M54" s="250"/>
      <c r="N54" s="250"/>
      <c r="O54" s="250"/>
    </row>
    <row r="55" customFormat="false" ht="12.8" hidden="false" customHeight="false" outlineLevel="0" collapsed="false">
      <c r="A55" s="278" t="s">
        <v>121</v>
      </c>
      <c r="B55" s="279" t="n">
        <v>1</v>
      </c>
      <c r="C55" s="139"/>
      <c r="D55" s="278" t="s">
        <v>122</v>
      </c>
      <c r="E55" s="280" t="n">
        <v>30</v>
      </c>
      <c r="F55" s="281"/>
      <c r="G55" s="195"/>
      <c r="H55" s="280" t="n">
        <v>3</v>
      </c>
      <c r="I55" s="196"/>
      <c r="J55" s="282"/>
      <c r="K55" s="283" t="n">
        <v>12</v>
      </c>
      <c r="L55" s="284"/>
      <c r="M55" s="250"/>
      <c r="N55" s="250"/>
      <c r="O55" s="250"/>
    </row>
    <row r="56" customFormat="false" ht="12.8" hidden="false" customHeight="false" outlineLevel="0" collapsed="false">
      <c r="A56" s="277" t="s">
        <v>123</v>
      </c>
      <c r="B56" s="285" t="n">
        <v>4</v>
      </c>
      <c r="C56" s="139"/>
      <c r="D56" s="274" t="s">
        <v>109</v>
      </c>
      <c r="E56" s="280" t="n">
        <v>1000</v>
      </c>
      <c r="F56" s="196"/>
      <c r="G56" s="195"/>
      <c r="H56" s="280" t="n">
        <v>1000</v>
      </c>
      <c r="I56" s="196"/>
      <c r="J56" s="282"/>
      <c r="K56" s="280" t="n">
        <v>4000</v>
      </c>
      <c r="L56" s="286"/>
      <c r="M56" s="250"/>
      <c r="N56" s="250"/>
      <c r="O56" s="250"/>
    </row>
    <row r="57" customFormat="false" ht="12.8" hidden="false" customHeight="false" outlineLevel="0" collapsed="false">
      <c r="A57" s="139"/>
      <c r="B57" s="139"/>
      <c r="C57" s="139"/>
      <c r="D57" s="274" t="s">
        <v>124</v>
      </c>
      <c r="E57" s="280" t="n">
        <f aca="false">E56/E55</f>
        <v>33.3333333333333</v>
      </c>
      <c r="F57" s="196"/>
      <c r="G57" s="195"/>
      <c r="H57" s="280" t="n">
        <f aca="false">H56/H55</f>
        <v>333.333333333333</v>
      </c>
      <c r="I57" s="196"/>
      <c r="J57" s="282"/>
      <c r="K57" s="280" t="n">
        <f aca="false">K56/K55</f>
        <v>333.333333333333</v>
      </c>
      <c r="L57" s="286"/>
      <c r="M57" s="250"/>
      <c r="N57" s="250"/>
      <c r="O57" s="250"/>
    </row>
    <row r="58" customFormat="false" ht="12.8" hidden="false" customHeight="false" outlineLevel="0" collapsed="false">
      <c r="A58" s="278" t="s">
        <v>121</v>
      </c>
      <c r="B58" s="279" t="n">
        <v>20</v>
      </c>
      <c r="C58" s="139"/>
      <c r="D58" s="274" t="s">
        <v>125</v>
      </c>
      <c r="E58" s="280" t="n">
        <f aca="false">E57/$B$55</f>
        <v>33.3333333333333</v>
      </c>
      <c r="F58" s="196"/>
      <c r="G58" s="195"/>
      <c r="H58" s="280" t="n">
        <f aca="false">H57/$B$58</f>
        <v>16.6666666666667</v>
      </c>
      <c r="I58" s="196"/>
      <c r="J58" s="195"/>
      <c r="K58" s="280" t="n">
        <f aca="false">K57/$B$58</f>
        <v>16.6666666666667</v>
      </c>
      <c r="L58" s="286"/>
      <c r="M58" s="250"/>
      <c r="N58" s="250"/>
      <c r="O58" s="250"/>
    </row>
    <row r="59" customFormat="false" ht="12.8" hidden="false" customHeight="false" outlineLevel="0" collapsed="false">
      <c r="A59" s="277" t="s">
        <v>123</v>
      </c>
      <c r="B59" s="285" t="n">
        <v>5</v>
      </c>
      <c r="C59" s="139"/>
      <c r="D59" s="277" t="s">
        <v>126</v>
      </c>
      <c r="E59" s="280" t="n">
        <f aca="false">E58/$B$56</f>
        <v>8.33333333333333</v>
      </c>
      <c r="F59" s="196"/>
      <c r="G59" s="195"/>
      <c r="H59" s="280" t="n">
        <f aca="false">H58/$B$59</f>
        <v>3.33333333333333</v>
      </c>
      <c r="I59" s="196"/>
      <c r="J59" s="282"/>
      <c r="K59" s="280" t="n">
        <f aca="false">K58/$B$59</f>
        <v>3.33333333333333</v>
      </c>
      <c r="L59" s="286"/>
      <c r="O59" s="250"/>
    </row>
    <row r="60" customFormat="false" ht="12.8" hidden="false" customHeight="false" outlineLevel="0" collapsed="false">
      <c r="A60" s="139"/>
      <c r="B60" s="139"/>
      <c r="C60" s="139"/>
      <c r="D60" s="213" t="s">
        <v>127</v>
      </c>
      <c r="E60" s="283" t="n">
        <f aca="false" t="array" ref="E60:F60">LINEST(C2:C12,D2:D12)</f>
        <v>0.305306543235851</v>
      </c>
      <c r="F60" s="284" t="n">
        <v>0.00350091310751105</v>
      </c>
      <c r="G60" s="287"/>
      <c r="H60" s="283" t="n">
        <f aca="false" t="array" ref="H60:I60">LINEST(C26:C36,D26:D36)</f>
        <v>0.28786680229775</v>
      </c>
      <c r="I60" s="284" t="n">
        <v>0.122763044518909</v>
      </c>
      <c r="J60" s="288"/>
      <c r="K60" s="283" t="n">
        <f aca="false" t="array" ref="K60:L60">LINEST(L26:L36,M26:M36)</f>
        <v>0.30092866093806</v>
      </c>
      <c r="L60" s="284" t="n">
        <v>0.221821912736386</v>
      </c>
      <c r="N60" s="250"/>
      <c r="O60" s="250"/>
    </row>
    <row r="61" customFormat="false" ht="12.8" hidden="false" customHeight="false" outlineLevel="0" collapsed="false">
      <c r="A61" s="139"/>
      <c r="B61" s="139"/>
      <c r="C61" s="139"/>
      <c r="D61" s="138" t="s">
        <v>108</v>
      </c>
      <c r="E61" s="280" t="n">
        <f aca="false">(E59*E60)+F60</f>
        <v>2.5477221067396</v>
      </c>
      <c r="F61" s="196"/>
      <c r="G61" s="282"/>
      <c r="H61" s="280" t="n">
        <f aca="false">(H59*H60)+I60</f>
        <v>1.08231905217807</v>
      </c>
      <c r="I61" s="286"/>
      <c r="J61" s="195"/>
      <c r="K61" s="280" t="n">
        <f aca="false">(K59*K60)+L60</f>
        <v>1.22491744919658</v>
      </c>
      <c r="L61" s="286"/>
      <c r="M61" s="250"/>
      <c r="N61" s="250"/>
      <c r="O61" s="250"/>
    </row>
    <row r="62" customFormat="false" ht="12.8" hidden="false" customHeight="false" outlineLevel="0" collapsed="false">
      <c r="A62" s="52"/>
      <c r="B62" s="52"/>
      <c r="C62" s="139"/>
      <c r="D62" s="138" t="s">
        <v>128</v>
      </c>
      <c r="E62" s="280" t="n">
        <f aca="false" t="array" ref="E62:F62">LINEST(B2:B12,C2:C12)</f>
        <v>3.13108183713084</v>
      </c>
      <c r="F62" s="286" t="n">
        <v>0.000622635954573363</v>
      </c>
      <c r="G62" s="282"/>
      <c r="H62" s="280" t="n">
        <f aca="false" t="array" ref="H62:I62">LINEST(B26:B36,C26:C36)</f>
        <v>2.98699761840629</v>
      </c>
      <c r="I62" s="286" t="n">
        <v>-0.000616352362423981</v>
      </c>
      <c r="J62" s="195"/>
      <c r="K62" s="289" t="n">
        <f aca="false" t="array" ref="K62:L62">LINEST(K26:K36,L26:L36)</f>
        <v>1.05325631990576</v>
      </c>
      <c r="L62" s="286" t="n">
        <v>0.000255859537147681</v>
      </c>
      <c r="M62" s="250"/>
    </row>
    <row r="63" customFormat="false" ht="12.8" hidden="false" customHeight="false" outlineLevel="0" collapsed="false">
      <c r="A63" s="52"/>
      <c r="B63" s="52"/>
      <c r="C63" s="139"/>
      <c r="D63" s="211" t="s">
        <v>107</v>
      </c>
      <c r="E63" s="290" t="n">
        <f aca="false">(E62*E61)+F62</f>
        <v>7.97774905042366</v>
      </c>
      <c r="F63" s="291"/>
      <c r="G63" s="288"/>
      <c r="H63" s="290" t="n">
        <f aca="false">(H62*H61)+I62</f>
        <v>3.23226807884924</v>
      </c>
      <c r="I63" s="292"/>
      <c r="J63" s="287"/>
      <c r="K63" s="290" t="n">
        <f aca="false">(K62*K61)+L62</f>
        <v>1.2904079042663</v>
      </c>
      <c r="L63" s="292"/>
      <c r="M63" s="250"/>
      <c r="O63" s="250"/>
    </row>
    <row r="64" customFormat="false" ht="12.8" hidden="false" customHeight="false" outlineLevel="0" collapsed="false">
      <c r="A64" s="139"/>
      <c r="B64" s="139"/>
      <c r="C64" s="139"/>
      <c r="M64" s="250"/>
      <c r="O64" s="250"/>
    </row>
    <row r="65" customFormat="false" ht="12.8" hidden="false" customHeight="false" outlineLevel="0" collapsed="false">
      <c r="A65" s="250"/>
      <c r="B65" s="250"/>
      <c r="C65" s="250"/>
      <c r="G65" s="250"/>
      <c r="I65" s="250"/>
      <c r="K65" s="250"/>
      <c r="L65" s="250"/>
      <c r="M65" s="250"/>
      <c r="O65" s="250"/>
    </row>
    <row r="66" customFormat="false" ht="12.8" hidden="false" customHeight="false" outlineLevel="0" collapsed="false">
      <c r="A66" s="250"/>
      <c r="B66" s="250"/>
      <c r="C66" s="250"/>
      <c r="D66" s="250"/>
      <c r="G66" s="250"/>
      <c r="I66" s="250"/>
      <c r="K66" s="250"/>
      <c r="L66" s="250"/>
      <c r="M66" s="250"/>
      <c r="O66" s="250"/>
    </row>
    <row r="67" customFormat="false" ht="12.8" hidden="false" customHeight="false" outlineLevel="0" collapsed="false">
      <c r="A67" s="250"/>
      <c r="B67" s="250"/>
      <c r="C67" s="250"/>
      <c r="D67" s="250"/>
      <c r="E67" s="250"/>
      <c r="G67" s="250"/>
      <c r="I67" s="250"/>
      <c r="J67" s="250"/>
      <c r="K67" s="250"/>
      <c r="L67" s="250"/>
      <c r="M67" s="250"/>
      <c r="N67" s="250"/>
      <c r="O67" s="250"/>
    </row>
    <row r="68" customFormat="false" ht="12.8" hidden="false" customHeight="false" outlineLevel="0" collapsed="false">
      <c r="A68" s="250"/>
      <c r="B68" s="250"/>
      <c r="C68" s="250"/>
      <c r="D68" s="250"/>
      <c r="E68" s="250"/>
      <c r="G68" s="250"/>
      <c r="I68" s="250"/>
      <c r="J68" s="250"/>
      <c r="K68" s="250"/>
      <c r="L68" s="250"/>
      <c r="M68" s="250"/>
      <c r="N68" s="250"/>
      <c r="O68" s="250"/>
    </row>
    <row r="69" customFormat="false" ht="12.8" hidden="false" customHeight="false" outlineLevel="0" collapsed="false">
      <c r="A69" s="250"/>
      <c r="B69" s="250"/>
      <c r="C69" s="250"/>
      <c r="D69" s="250"/>
      <c r="I69" s="250"/>
      <c r="L69" s="250"/>
      <c r="M69" s="250"/>
    </row>
    <row r="70" customFormat="false" ht="12.8" hidden="false" customHeight="false" outlineLevel="0" collapsed="false">
      <c r="A70" s="250"/>
      <c r="B70" s="250"/>
      <c r="C70" s="250"/>
      <c r="D70" s="250"/>
      <c r="E70" s="250"/>
      <c r="G70" s="250"/>
      <c r="I70" s="250"/>
      <c r="J70" s="250"/>
      <c r="K70" s="250"/>
      <c r="L70" s="250"/>
      <c r="M70" s="250"/>
      <c r="N70" s="250"/>
      <c r="O70" s="250"/>
    </row>
    <row r="71" customFormat="false" ht="12.8" hidden="false" customHeight="false" outlineLevel="0" collapsed="false">
      <c r="A71" s="250"/>
      <c r="B71" s="250"/>
      <c r="C71" s="250"/>
      <c r="D71" s="250"/>
      <c r="E71" s="250"/>
      <c r="G71" s="250"/>
      <c r="I71" s="250"/>
      <c r="J71" s="250"/>
      <c r="K71" s="250"/>
      <c r="L71" s="250"/>
      <c r="M71" s="250"/>
      <c r="N71" s="250"/>
      <c r="O71" s="250"/>
    </row>
    <row r="72" customFormat="false" ht="12.8" hidden="false" customHeight="false" outlineLevel="0" collapsed="false">
      <c r="A72" s="250"/>
      <c r="B72" s="250"/>
      <c r="C72" s="250"/>
      <c r="D72" s="250"/>
      <c r="G72" s="250"/>
      <c r="I72" s="250"/>
      <c r="K72" s="250"/>
      <c r="L72" s="250"/>
      <c r="M72" s="250"/>
      <c r="O72" s="250"/>
    </row>
    <row r="73" customFormat="false" ht="12.8" hidden="false" customHeight="false" outlineLevel="0" collapsed="false">
      <c r="A73" s="250"/>
      <c r="B73" s="250"/>
      <c r="C73" s="250"/>
      <c r="D73" s="250"/>
      <c r="E73" s="250"/>
      <c r="G73" s="250"/>
      <c r="I73" s="250"/>
      <c r="J73" s="250"/>
      <c r="K73" s="250"/>
      <c r="L73" s="250"/>
      <c r="M73" s="250"/>
      <c r="N73" s="250"/>
      <c r="O73" s="250"/>
    </row>
    <row r="74" customFormat="false" ht="12.8" hidden="false" customHeight="false" outlineLevel="0" collapsed="false">
      <c r="A74" s="250"/>
      <c r="B74" s="250"/>
      <c r="C74" s="250"/>
      <c r="D74" s="250"/>
      <c r="E74" s="250"/>
      <c r="G74" s="250"/>
      <c r="I74" s="250"/>
      <c r="J74" s="250"/>
      <c r="K74" s="250"/>
      <c r="L74" s="250"/>
      <c r="M74" s="250"/>
      <c r="N74" s="250"/>
      <c r="O74" s="250"/>
    </row>
    <row r="75" customFormat="false" ht="12.8" hidden="false" customHeight="false" outlineLevel="0" collapsed="false">
      <c r="A75" s="250"/>
      <c r="B75" s="250"/>
      <c r="C75" s="250"/>
      <c r="D75" s="250"/>
      <c r="E75" s="250"/>
      <c r="G75" s="250"/>
      <c r="I75" s="250"/>
      <c r="J75" s="250"/>
      <c r="K75" s="250"/>
      <c r="L75" s="250"/>
      <c r="M75" s="250"/>
      <c r="N75" s="250"/>
      <c r="O75" s="250"/>
    </row>
    <row r="76" customFormat="false" ht="12.8" hidden="false" customHeight="false" outlineLevel="0" collapsed="false">
      <c r="A76" s="250"/>
      <c r="B76" s="250"/>
      <c r="C76" s="250"/>
      <c r="D76" s="250"/>
      <c r="I76" s="250"/>
      <c r="L76" s="250"/>
      <c r="M76" s="250"/>
    </row>
    <row r="77" customFormat="false" ht="12.8" hidden="false" customHeight="false" outlineLevel="0" collapsed="false">
      <c r="A77" s="250"/>
      <c r="B77" s="250"/>
      <c r="C77" s="250"/>
      <c r="D77" s="250"/>
      <c r="G77" s="250"/>
      <c r="I77" s="250"/>
      <c r="J77" s="250"/>
      <c r="K77" s="250"/>
      <c r="L77" s="250"/>
      <c r="M77" s="250"/>
      <c r="N77" s="250"/>
      <c r="O77" s="250"/>
    </row>
    <row r="78" customFormat="false" ht="12.8" hidden="false" customHeight="false" outlineLevel="0" collapsed="false">
      <c r="A78" s="250"/>
      <c r="B78" s="250"/>
      <c r="C78" s="250"/>
      <c r="D78" s="250"/>
      <c r="G78" s="250"/>
      <c r="I78" s="250"/>
      <c r="K78" s="250"/>
      <c r="L78" s="250"/>
      <c r="M78" s="250"/>
      <c r="O78" s="250"/>
    </row>
  </sheetData>
  <mergeCells count="4">
    <mergeCell ref="H53:L53"/>
    <mergeCell ref="E54:F54"/>
    <mergeCell ref="H54:I54"/>
    <mergeCell ref="K54:L54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6" activeCellId="0" sqref="B2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2.84"/>
    <col collapsed="false" customWidth="true" hidden="false" outlineLevel="0" max="2" min="2" style="0" width="15.62"/>
    <col collapsed="false" customWidth="true" hidden="false" outlineLevel="0" max="5" min="3" style="0" width="12.84"/>
  </cols>
  <sheetData>
    <row r="1" customFormat="false" ht="12.8" hidden="false" customHeight="false" outlineLevel="0" collapsed="false">
      <c r="A1" s="174" t="s">
        <v>129</v>
      </c>
      <c r="B1" s="174" t="s">
        <v>130</v>
      </c>
      <c r="C1" s="174" t="s">
        <v>131</v>
      </c>
      <c r="D1" s="174" t="s">
        <v>132</v>
      </c>
      <c r="E1" s="174" t="s">
        <v>133</v>
      </c>
      <c r="F1" s="174" t="s">
        <v>134</v>
      </c>
      <c r="G1" s="174" t="s">
        <v>135</v>
      </c>
      <c r="H1" s="293" t="s">
        <v>136</v>
      </c>
    </row>
    <row r="2" customFormat="false" ht="12.8" hidden="false" customHeight="false" outlineLevel="0" collapsed="false">
      <c r="A2" s="274" t="s">
        <v>137</v>
      </c>
      <c r="B2" s="275" t="n">
        <v>18.9</v>
      </c>
      <c r="C2" s="275" t="n">
        <f aca="false">((B2*1000)/350)</f>
        <v>54</v>
      </c>
      <c r="D2" s="275" t="n">
        <f aca="false">((B2*1000)/350)/1000</f>
        <v>0.054</v>
      </c>
      <c r="E2" s="275" t="n">
        <f aca="false">D2*100</f>
        <v>5.4</v>
      </c>
      <c r="F2" s="275" t="n">
        <f aca="false">D2*1000</f>
        <v>54</v>
      </c>
      <c r="G2" s="275" t="n">
        <f aca="false">D2*2000</f>
        <v>108</v>
      </c>
      <c r="H2" s="293" t="s">
        <v>138</v>
      </c>
    </row>
    <row r="3" customFormat="false" ht="12.8" hidden="false" customHeight="false" outlineLevel="0" collapsed="false">
      <c r="A3" s="274" t="s">
        <v>139</v>
      </c>
      <c r="B3" s="275" t="n">
        <v>522.8</v>
      </c>
      <c r="C3" s="275" t="n">
        <f aca="false">((B3*1000)/350)</f>
        <v>1493.71428571429</v>
      </c>
      <c r="D3" s="275" t="n">
        <f aca="false">((B3*1000)/350)/1000</f>
        <v>1.49371428571429</v>
      </c>
      <c r="E3" s="275" t="n">
        <f aca="false">D3*100</f>
        <v>149.371428571429</v>
      </c>
      <c r="F3" s="275" t="n">
        <f aca="false">D3*1000</f>
        <v>1493.71428571429</v>
      </c>
      <c r="G3" s="275" t="n">
        <f aca="false">D3*2000</f>
        <v>2987.42857142857</v>
      </c>
      <c r="H3" s="293" t="s">
        <v>140</v>
      </c>
    </row>
    <row r="4" customFormat="false" ht="12.8" hidden="false" customHeight="false" outlineLevel="0" collapsed="false">
      <c r="A4" s="274" t="s">
        <v>141</v>
      </c>
      <c r="B4" s="275" t="n">
        <v>0.42</v>
      </c>
      <c r="C4" s="275" t="n">
        <f aca="false">((B4*1000)/350)</f>
        <v>1.2</v>
      </c>
      <c r="D4" s="275" t="n">
        <f aca="false">((B4*1000)/350)/1000</f>
        <v>0.0012</v>
      </c>
      <c r="E4" s="275" t="n">
        <f aca="false">D4*100</f>
        <v>0.12</v>
      </c>
      <c r="F4" s="275" t="n">
        <f aca="false">D4*1000</f>
        <v>1.2</v>
      </c>
      <c r="G4" s="275" t="n">
        <f aca="false">D4*2000</f>
        <v>2.4</v>
      </c>
      <c r="H4" s="293" t="s">
        <v>142</v>
      </c>
    </row>
    <row r="5" customFormat="false" ht="12.8" hidden="false" customHeight="false" outlineLevel="0" collapsed="false">
      <c r="A5" s="274" t="s">
        <v>143</v>
      </c>
      <c r="B5" s="275" t="n">
        <v>10.5</v>
      </c>
      <c r="C5" s="275" t="n">
        <f aca="false">((B5*1000)/350)</f>
        <v>30</v>
      </c>
      <c r="D5" s="275" t="n">
        <f aca="false">((B5*1000)/350)/1000</f>
        <v>0.03</v>
      </c>
      <c r="E5" s="275" t="n">
        <f aca="false">D5*100</f>
        <v>3</v>
      </c>
      <c r="F5" s="275" t="n">
        <f aca="false">D5*1000</f>
        <v>30</v>
      </c>
      <c r="G5" s="275" t="n">
        <f aca="false">D5*2000</f>
        <v>60</v>
      </c>
      <c r="H5" s="293" t="s">
        <v>144</v>
      </c>
    </row>
    <row r="6" customFormat="false" ht="12.8" hidden="false" customHeight="false" outlineLevel="0" collapsed="false">
      <c r="A6" s="274" t="s">
        <v>145</v>
      </c>
      <c r="B6" s="275" t="n">
        <v>0.0105</v>
      </c>
      <c r="C6" s="275" t="n">
        <f aca="false">((B6*1000)/350)</f>
        <v>0.03</v>
      </c>
      <c r="D6" s="275" t="n">
        <f aca="false">((B6*1000)/350)/1000</f>
        <v>3E-005</v>
      </c>
      <c r="E6" s="275" t="n">
        <f aca="false">D6*100</f>
        <v>0.003</v>
      </c>
      <c r="F6" s="275" t="n">
        <f aca="false">D6*1000</f>
        <v>0.03</v>
      </c>
      <c r="G6" s="275" t="n">
        <f aca="false">D6*2000</f>
        <v>0.06</v>
      </c>
      <c r="H6" s="293" t="s">
        <v>146</v>
      </c>
    </row>
    <row r="7" customFormat="false" ht="12.8" hidden="false" customHeight="false" outlineLevel="0" collapsed="false">
      <c r="A7" s="274" t="s">
        <v>147</v>
      </c>
      <c r="B7" s="275" t="n">
        <v>0.21</v>
      </c>
      <c r="C7" s="275" t="n">
        <f aca="false">((B7*1000)/350)</f>
        <v>0.6</v>
      </c>
      <c r="D7" s="275" t="n">
        <f aca="false">((B7*1000)/350)/1000</f>
        <v>0.0006</v>
      </c>
      <c r="E7" s="275" t="n">
        <f aca="false">D7*100</f>
        <v>0.06</v>
      </c>
      <c r="F7" s="275" t="n">
        <f aca="false">D7*1000</f>
        <v>0.6</v>
      </c>
      <c r="G7" s="275" t="n">
        <f aca="false">D7*2000</f>
        <v>1.2</v>
      </c>
      <c r="H7" s="293" t="s">
        <v>148</v>
      </c>
    </row>
    <row r="8" customFormat="false" ht="12.8" hidden="false" customHeight="false" outlineLevel="0" collapsed="false">
      <c r="A8" s="277" t="s">
        <v>149</v>
      </c>
      <c r="B8" s="276" t="n">
        <v>9.23</v>
      </c>
      <c r="C8" s="276" t="n">
        <f aca="false">((B8*1000)/350)</f>
        <v>26.3714285714286</v>
      </c>
      <c r="D8" s="276" t="n">
        <f aca="false">((B8*1000)/350)/1000</f>
        <v>0.0263714285714286</v>
      </c>
      <c r="E8" s="276" t="n">
        <f aca="false">D8*100</f>
        <v>2.63714285714286</v>
      </c>
      <c r="F8" s="276" t="n">
        <f aca="false">D8*1000</f>
        <v>26.3714285714286</v>
      </c>
      <c r="G8" s="276" t="n">
        <f aca="false">D8*2000</f>
        <v>52.7428571428571</v>
      </c>
      <c r="H8" s="293" t="s">
        <v>150</v>
      </c>
    </row>
    <row r="11" customFormat="false" ht="12.8" hidden="false" customHeight="false" outlineLevel="0" collapsed="false">
      <c r="A11" s="174" t="s">
        <v>151</v>
      </c>
      <c r="B11" s="174" t="s">
        <v>152</v>
      </c>
      <c r="C11" s="174"/>
      <c r="D11" s="174"/>
      <c r="E11" s="174"/>
    </row>
    <row r="12" customFormat="false" ht="12.8" hidden="false" customHeight="false" outlineLevel="0" collapsed="false">
      <c r="A12" s="294" t="n">
        <v>500</v>
      </c>
      <c r="B12" s="174" t="s">
        <v>153</v>
      </c>
      <c r="C12" s="174" t="s">
        <v>154</v>
      </c>
      <c r="D12" s="174" t="s">
        <v>155</v>
      </c>
      <c r="E12" s="174" t="s">
        <v>156</v>
      </c>
    </row>
    <row r="13" customFormat="false" ht="12.8" hidden="false" customHeight="false" outlineLevel="0" collapsed="false">
      <c r="A13" s="278" t="s">
        <v>137</v>
      </c>
      <c r="B13" s="295" t="n">
        <f aca="false">D2*($A$12/1000)</f>
        <v>0.027</v>
      </c>
      <c r="C13" s="295" t="n">
        <f aca="false">(E2*$A$12)/1000</f>
        <v>2.7</v>
      </c>
      <c r="D13" s="295" t="n">
        <f aca="false">(F2*$A$12)/1000</f>
        <v>27</v>
      </c>
      <c r="E13" s="295" t="n">
        <f aca="false">(G2*$A$12)/1000</f>
        <v>54</v>
      </c>
    </row>
    <row r="14" customFormat="false" ht="12.8" hidden="false" customHeight="false" outlineLevel="0" collapsed="false">
      <c r="A14" s="274" t="s">
        <v>139</v>
      </c>
      <c r="B14" s="296" t="n">
        <f aca="false">D3*($A$12/1000)</f>
        <v>0.746857142857143</v>
      </c>
      <c r="C14" s="296" t="n">
        <f aca="false">(E3*$A$12)/1000</f>
        <v>74.6857142857143</v>
      </c>
      <c r="D14" s="296" t="n">
        <f aca="false">(F3*$A$12)/1000</f>
        <v>746.857142857143</v>
      </c>
      <c r="E14" s="296" t="n">
        <f aca="false">(G3*$A$12)/1000</f>
        <v>1493.71428571429</v>
      </c>
    </row>
    <row r="15" customFormat="false" ht="12.8" hidden="false" customHeight="false" outlineLevel="0" collapsed="false">
      <c r="A15" s="274" t="s">
        <v>141</v>
      </c>
      <c r="B15" s="296" t="n">
        <f aca="false">D4*($A$12/1000)</f>
        <v>0.0006</v>
      </c>
      <c r="C15" s="296" t="n">
        <f aca="false">(E4*$A$12)/1000</f>
        <v>0.06</v>
      </c>
      <c r="D15" s="296" t="n">
        <f aca="false">(F4*$A$12)/1000</f>
        <v>0.6</v>
      </c>
      <c r="E15" s="296" t="n">
        <f aca="false">(G4*$A$12)/1000</f>
        <v>1.2</v>
      </c>
    </row>
    <row r="16" customFormat="false" ht="12.8" hidden="false" customHeight="false" outlineLevel="0" collapsed="false">
      <c r="A16" s="274" t="s">
        <v>143</v>
      </c>
      <c r="B16" s="296" t="n">
        <f aca="false">D5*($A$12/1000)</f>
        <v>0.015</v>
      </c>
      <c r="C16" s="296" t="n">
        <f aca="false">(E5*$A$12)/1000</f>
        <v>1.5</v>
      </c>
      <c r="D16" s="296" t="n">
        <f aca="false">(F5*$A$12)/1000</f>
        <v>15</v>
      </c>
      <c r="E16" s="296" t="n">
        <f aca="false">(G5*$A$12)/1000</f>
        <v>30</v>
      </c>
    </row>
    <row r="17" customFormat="false" ht="12.8" hidden="false" customHeight="false" outlineLevel="0" collapsed="false">
      <c r="A17" s="274" t="s">
        <v>145</v>
      </c>
      <c r="B17" s="296" t="n">
        <f aca="false">D6*($A$12/1000)</f>
        <v>1.5E-005</v>
      </c>
      <c r="C17" s="296" t="n">
        <f aca="false">(E6*$A$12)/1000</f>
        <v>0.0015</v>
      </c>
      <c r="D17" s="296" t="n">
        <f aca="false">(F6*$A$12)/1000</f>
        <v>0.015</v>
      </c>
      <c r="E17" s="296" t="n">
        <f aca="false">(G6*$A$12)/1000</f>
        <v>0.03</v>
      </c>
    </row>
    <row r="18" customFormat="false" ht="12.8" hidden="false" customHeight="false" outlineLevel="0" collapsed="false">
      <c r="A18" s="274" t="s">
        <v>147</v>
      </c>
      <c r="B18" s="296" t="n">
        <f aca="false">D7*($A$12/1000)</f>
        <v>0.0003</v>
      </c>
      <c r="C18" s="296" t="n">
        <f aca="false">(E7*$A$12)/1000</f>
        <v>0.03</v>
      </c>
      <c r="D18" s="296" t="n">
        <f aca="false">(F7*$A$12)/1000</f>
        <v>0.3</v>
      </c>
      <c r="E18" s="296" t="n">
        <f aca="false">(G7*$A$12)/1000</f>
        <v>0.6</v>
      </c>
    </row>
    <row r="19" customFormat="false" ht="12.8" hidden="false" customHeight="false" outlineLevel="0" collapsed="false">
      <c r="A19" s="274" t="s">
        <v>149</v>
      </c>
      <c r="B19" s="296" t="n">
        <f aca="false">D8*($A$12/1000)</f>
        <v>0.0131857142857143</v>
      </c>
      <c r="C19" s="296" t="n">
        <f aca="false">(E8*$A$12)/1000</f>
        <v>1.31857142857143</v>
      </c>
      <c r="D19" s="296" t="n">
        <f aca="false">(F8*$A$12)/1000</f>
        <v>13.1857142857143</v>
      </c>
      <c r="E19" s="296" t="n">
        <f aca="false">(G8*$A$12)/1000</f>
        <v>26.3714285714286</v>
      </c>
    </row>
    <row r="20" customFormat="false" ht="12.8" hidden="false" customHeight="false" outlineLevel="0" collapsed="false">
      <c r="A20" s="176" t="s">
        <v>151</v>
      </c>
      <c r="B20" s="176" t="n">
        <f aca="false">C20*100</f>
        <v>500</v>
      </c>
      <c r="C20" s="176" t="n">
        <f aca="false">D20*10</f>
        <v>5</v>
      </c>
      <c r="D20" s="176" t="n">
        <f aca="false">1*(A12/1000)</f>
        <v>0.5</v>
      </c>
      <c r="E20" s="176" t="n">
        <f aca="false">D20/2</f>
        <v>0.25</v>
      </c>
    </row>
    <row r="21" customFormat="false" ht="12.8" hidden="false" customHeight="false" outlineLevel="0" collapsed="false">
      <c r="B21" s="250"/>
      <c r="C21" s="250"/>
      <c r="D21" s="250"/>
      <c r="E21" s="250"/>
    </row>
    <row r="23" customFormat="false" ht="12.8" hidden="false" customHeight="false" outlineLevel="0" collapsed="false">
      <c r="A23" s="174" t="s">
        <v>151</v>
      </c>
      <c r="B23" s="174" t="s">
        <v>152</v>
      </c>
      <c r="C23" s="174"/>
      <c r="D23" s="174"/>
      <c r="E23" s="174"/>
    </row>
    <row r="24" customFormat="false" ht="12.8" hidden="false" customHeight="false" outlineLevel="0" collapsed="false">
      <c r="A24" s="294" t="n">
        <v>250</v>
      </c>
      <c r="B24" s="174" t="s">
        <v>153</v>
      </c>
      <c r="C24" s="174" t="s">
        <v>154</v>
      </c>
      <c r="D24" s="174" t="s">
        <v>155</v>
      </c>
      <c r="E24" s="174" t="s">
        <v>156</v>
      </c>
    </row>
    <row r="25" customFormat="false" ht="12.8" hidden="false" customHeight="false" outlineLevel="0" collapsed="false">
      <c r="A25" s="278" t="s">
        <v>137</v>
      </c>
      <c r="B25" s="295" t="n">
        <f aca="false">D2*($A$24/1000)</f>
        <v>0.0135</v>
      </c>
      <c r="C25" s="295" t="n">
        <f aca="false">(E2*$A$24)/1000</f>
        <v>1.35</v>
      </c>
      <c r="D25" s="295" t="n">
        <f aca="false">(F2*$A$24)/1000</f>
        <v>13.5</v>
      </c>
      <c r="E25" s="295" t="n">
        <f aca="false">(G2*$A$24)/1000</f>
        <v>27</v>
      </c>
    </row>
    <row r="26" customFormat="false" ht="12.8" hidden="false" customHeight="false" outlineLevel="0" collapsed="false">
      <c r="A26" s="274" t="s">
        <v>139</v>
      </c>
      <c r="B26" s="296" t="n">
        <f aca="false">D3*($A$24/1000)</f>
        <v>0.373428571428571</v>
      </c>
      <c r="C26" s="296" t="n">
        <f aca="false">(E3*$A$24)/1000</f>
        <v>37.3428571428571</v>
      </c>
      <c r="D26" s="296" t="n">
        <f aca="false">(F3*$A$24)/1000</f>
        <v>373.428571428571</v>
      </c>
      <c r="E26" s="296" t="n">
        <f aca="false">(G3*$A$24)/1000</f>
        <v>746.857142857143</v>
      </c>
    </row>
    <row r="27" customFormat="false" ht="12.8" hidden="false" customHeight="false" outlineLevel="0" collapsed="false">
      <c r="A27" s="274" t="s">
        <v>141</v>
      </c>
      <c r="B27" s="296" t="n">
        <f aca="false">D4*($A$24/1000)</f>
        <v>0.0003</v>
      </c>
      <c r="C27" s="296" t="n">
        <f aca="false">(E4*$A$24)/1000</f>
        <v>0.03</v>
      </c>
      <c r="D27" s="296" t="n">
        <f aca="false">(F4*$A$24)/1000</f>
        <v>0.3</v>
      </c>
      <c r="E27" s="296" t="n">
        <f aca="false">(G4*$A$24)/1000</f>
        <v>0.6</v>
      </c>
    </row>
    <row r="28" customFormat="false" ht="12.8" hidden="false" customHeight="false" outlineLevel="0" collapsed="false">
      <c r="A28" s="274" t="s">
        <v>143</v>
      </c>
      <c r="B28" s="296" t="n">
        <f aca="false">D5*($A$24/1000)</f>
        <v>0.0075</v>
      </c>
      <c r="C28" s="296" t="n">
        <f aca="false">(E5*$A$24)/1000</f>
        <v>0.75</v>
      </c>
      <c r="D28" s="296" t="n">
        <f aca="false">(F5*$A$24)/1000</f>
        <v>7.5</v>
      </c>
      <c r="E28" s="296" t="n">
        <f aca="false">(G5*$A$24)/1000</f>
        <v>15</v>
      </c>
    </row>
    <row r="29" customFormat="false" ht="12.8" hidden="false" customHeight="false" outlineLevel="0" collapsed="false">
      <c r="A29" s="274" t="s">
        <v>145</v>
      </c>
      <c r="B29" s="296" t="n">
        <f aca="false">D6*($A$24/1000)</f>
        <v>7.5E-006</v>
      </c>
      <c r="C29" s="296" t="n">
        <f aca="false">(E6*$A$24)/1000</f>
        <v>0.00075</v>
      </c>
      <c r="D29" s="296" t="n">
        <f aca="false">(F6*$A$24)/1000</f>
        <v>0.0075</v>
      </c>
      <c r="E29" s="296" t="n">
        <f aca="false">(G6*$A$24)/1000</f>
        <v>0.015</v>
      </c>
    </row>
    <row r="30" customFormat="false" ht="12.8" hidden="false" customHeight="false" outlineLevel="0" collapsed="false">
      <c r="A30" s="274" t="s">
        <v>147</v>
      </c>
      <c r="B30" s="296" t="n">
        <f aca="false">D7*($A$24/1000)</f>
        <v>0.00015</v>
      </c>
      <c r="C30" s="296" t="n">
        <f aca="false">(E7*$A$24)/1000</f>
        <v>0.015</v>
      </c>
      <c r="D30" s="296" t="n">
        <f aca="false">(F7*$A$24)/1000</f>
        <v>0.15</v>
      </c>
      <c r="E30" s="296" t="n">
        <f aca="false">(G7*$A$24)/1000</f>
        <v>0.3</v>
      </c>
    </row>
    <row r="31" customFormat="false" ht="12.8" hidden="false" customHeight="false" outlineLevel="0" collapsed="false">
      <c r="A31" s="274" t="s">
        <v>149</v>
      </c>
      <c r="B31" s="296" t="n">
        <f aca="false">D8*($A$24/1000)</f>
        <v>0.00659285714285714</v>
      </c>
      <c r="C31" s="296" t="n">
        <f aca="false">(E8*$A$24)/1000</f>
        <v>0.659285714285714</v>
      </c>
      <c r="D31" s="296" t="n">
        <f aca="false">(F8*$A$24)/1000</f>
        <v>6.59285714285714</v>
      </c>
      <c r="E31" s="296" t="n">
        <f aca="false">(G8*$A$24)/1000</f>
        <v>13.1857142857143</v>
      </c>
    </row>
    <row r="32" customFormat="false" ht="12.8" hidden="false" customHeight="false" outlineLevel="0" collapsed="false">
      <c r="A32" s="176" t="s">
        <v>151</v>
      </c>
      <c r="B32" s="176" t="n">
        <f aca="false">C32*100</f>
        <v>250</v>
      </c>
      <c r="C32" s="176" t="n">
        <f aca="false">D32*10</f>
        <v>2.5</v>
      </c>
      <c r="D32" s="176" t="n">
        <f aca="false">1*(A24/1000)</f>
        <v>0.25</v>
      </c>
      <c r="E32" s="176" t="n">
        <f aca="false">D32/2</f>
        <v>0.125</v>
      </c>
    </row>
    <row r="35" customFormat="false" ht="12.8" hidden="false" customHeight="false" outlineLevel="0" collapsed="false">
      <c r="A35" s="174" t="s">
        <v>151</v>
      </c>
      <c r="B35" s="174" t="s">
        <v>152</v>
      </c>
      <c r="C35" s="174"/>
      <c r="D35" s="174"/>
      <c r="E35" s="174"/>
    </row>
    <row r="36" customFormat="false" ht="12.8" hidden="false" customHeight="false" outlineLevel="0" collapsed="false">
      <c r="A36" s="294" t="n">
        <v>2000</v>
      </c>
      <c r="B36" s="174" t="s">
        <v>153</v>
      </c>
      <c r="C36" s="174" t="s">
        <v>154</v>
      </c>
      <c r="D36" s="174" t="s">
        <v>155</v>
      </c>
      <c r="E36" s="174" t="s">
        <v>156</v>
      </c>
    </row>
    <row r="37" customFormat="false" ht="12.8" hidden="false" customHeight="false" outlineLevel="0" collapsed="false">
      <c r="A37" s="278" t="s">
        <v>137</v>
      </c>
      <c r="B37" s="295" t="n">
        <f aca="false">D2*($A$36/1000)</f>
        <v>0.108</v>
      </c>
      <c r="C37" s="295" t="n">
        <f aca="false">(E2*$A$36)/1000</f>
        <v>10.8</v>
      </c>
      <c r="D37" s="295" t="n">
        <f aca="false">(F2*$A$36)/1000</f>
        <v>108</v>
      </c>
      <c r="E37" s="295" t="n">
        <f aca="false">(G2*$A$36)/1000</f>
        <v>216</v>
      </c>
    </row>
    <row r="38" customFormat="false" ht="12.8" hidden="false" customHeight="false" outlineLevel="0" collapsed="false">
      <c r="A38" s="274" t="s">
        <v>139</v>
      </c>
      <c r="B38" s="296" t="n">
        <f aca="false">D3*($A$36/1000)</f>
        <v>2.98742857142857</v>
      </c>
      <c r="C38" s="296" t="n">
        <f aca="false">(E3*$A$36)/1000</f>
        <v>298.742857142857</v>
      </c>
      <c r="D38" s="296" t="n">
        <f aca="false">(F3*$A$36)/1000</f>
        <v>2987.42857142857</v>
      </c>
      <c r="E38" s="296" t="n">
        <f aca="false">(G3*$A$36)/1000</f>
        <v>5974.85714285714</v>
      </c>
    </row>
    <row r="39" customFormat="false" ht="12.8" hidden="false" customHeight="false" outlineLevel="0" collapsed="false">
      <c r="A39" s="274" t="s">
        <v>141</v>
      </c>
      <c r="B39" s="296" t="n">
        <f aca="false">D4*($A$36/1000)</f>
        <v>0.0024</v>
      </c>
      <c r="C39" s="296" t="n">
        <f aca="false">(E4*$A$36)/1000</f>
        <v>0.24</v>
      </c>
      <c r="D39" s="296" t="n">
        <f aca="false">(F4*$A$36)/1000</f>
        <v>2.4</v>
      </c>
      <c r="E39" s="296" t="n">
        <f aca="false">(G4*$A$36)/1000</f>
        <v>4.8</v>
      </c>
    </row>
    <row r="40" customFormat="false" ht="12.8" hidden="false" customHeight="false" outlineLevel="0" collapsed="false">
      <c r="A40" s="274" t="s">
        <v>143</v>
      </c>
      <c r="B40" s="296" t="n">
        <f aca="false">D5*($A$36/1000)</f>
        <v>0.06</v>
      </c>
      <c r="C40" s="296" t="n">
        <f aca="false">(E5*$A$36)/1000</f>
        <v>6</v>
      </c>
      <c r="D40" s="296" t="n">
        <f aca="false">(F5*$A$36)/1000</f>
        <v>60</v>
      </c>
      <c r="E40" s="296" t="n">
        <f aca="false">(G5*$A$36)/1000</f>
        <v>120</v>
      </c>
    </row>
    <row r="41" customFormat="false" ht="12.8" hidden="false" customHeight="false" outlineLevel="0" collapsed="false">
      <c r="A41" s="274" t="s">
        <v>145</v>
      </c>
      <c r="B41" s="296" t="n">
        <f aca="false">D6*($A$36/1000)</f>
        <v>6E-005</v>
      </c>
      <c r="C41" s="296" t="n">
        <f aca="false">(E6*$A$36)/1000</f>
        <v>0.006</v>
      </c>
      <c r="D41" s="296" t="n">
        <f aca="false">(F6*$A$36)/1000</f>
        <v>0.06</v>
      </c>
      <c r="E41" s="296" t="n">
        <f aca="false">(G6*$A$36)/1000</f>
        <v>0.12</v>
      </c>
    </row>
    <row r="42" customFormat="false" ht="12.8" hidden="false" customHeight="false" outlineLevel="0" collapsed="false">
      <c r="A42" s="274" t="s">
        <v>147</v>
      </c>
      <c r="B42" s="296" t="n">
        <f aca="false">D7*($A$36/1000)</f>
        <v>0.0012</v>
      </c>
      <c r="C42" s="296" t="n">
        <f aca="false">(E7*$A$36)/1000</f>
        <v>0.12</v>
      </c>
      <c r="D42" s="296" t="n">
        <f aca="false">(F7*$A$36)/1000</f>
        <v>1.2</v>
      </c>
      <c r="E42" s="296" t="n">
        <f aca="false">(G7*$A$36)/1000</f>
        <v>2.4</v>
      </c>
    </row>
    <row r="43" customFormat="false" ht="12.8" hidden="false" customHeight="false" outlineLevel="0" collapsed="false">
      <c r="A43" s="274" t="s">
        <v>149</v>
      </c>
      <c r="B43" s="296" t="n">
        <f aca="false">D8*($A$36/1000)</f>
        <v>0.0527428571428571</v>
      </c>
      <c r="C43" s="296" t="n">
        <f aca="false">(E8*$A$36)/1000</f>
        <v>5.27428571428571</v>
      </c>
      <c r="D43" s="296" t="n">
        <f aca="false">(F8*$A$36)/1000</f>
        <v>52.7428571428571</v>
      </c>
      <c r="E43" s="296" t="n">
        <f aca="false">(G8*$A$36)/1000</f>
        <v>105.485714285714</v>
      </c>
    </row>
    <row r="44" customFormat="false" ht="12.8" hidden="false" customHeight="false" outlineLevel="0" collapsed="false">
      <c r="A44" s="176" t="s">
        <v>151</v>
      </c>
      <c r="B44" s="176" t="n">
        <f aca="false">C44*100</f>
        <v>2000</v>
      </c>
      <c r="C44" s="176" t="n">
        <f aca="false">D44*10</f>
        <v>20</v>
      </c>
      <c r="D44" s="176" t="n">
        <f aca="false">1*(A36/1000)</f>
        <v>2</v>
      </c>
      <c r="E44" s="176" t="n">
        <f aca="false">D44/2</f>
        <v>1</v>
      </c>
    </row>
  </sheetData>
  <mergeCells count="3">
    <mergeCell ref="B11:E11"/>
    <mergeCell ref="B23:E23"/>
    <mergeCell ref="B35:E35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8" activeCellId="0" sqref="J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0.15"/>
    <col collapsed="false" customWidth="true" hidden="false" outlineLevel="0" max="2" min="2" style="0" width="18.68"/>
    <col collapsed="false" customWidth="true" hidden="false" outlineLevel="0" max="3" min="3" style="0" width="13.76"/>
    <col collapsed="false" customWidth="true" hidden="false" outlineLevel="0" max="4" min="4" style="0" width="17.01"/>
    <col collapsed="false" customWidth="true" hidden="false" outlineLevel="0" max="5" min="5" style="0" width="23.41"/>
    <col collapsed="false" customWidth="true" hidden="false" outlineLevel="0" max="6" min="6" style="0" width="11.4"/>
    <col collapsed="false" customWidth="true" hidden="false" outlineLevel="0" max="8" min="8" style="0" width="16.59"/>
    <col collapsed="false" customWidth="true" hidden="false" outlineLevel="0" max="9" min="9" style="0" width="20.5"/>
    <col collapsed="false" customWidth="true" hidden="false" outlineLevel="0" max="10" min="10" style="0" width="18.68"/>
    <col collapsed="false" customWidth="true" hidden="false" outlineLevel="0" max="11" min="11" style="0" width="15.76"/>
    <col collapsed="false" customWidth="true" hidden="false" outlineLevel="0" max="12" min="12" style="0" width="16.59"/>
    <col collapsed="false" customWidth="true" hidden="false" outlineLevel="0" max="13" min="13" style="0" width="20.5"/>
    <col collapsed="false" customWidth="true" hidden="false" outlineLevel="0" max="15" min="15" style="0" width="15.76"/>
  </cols>
  <sheetData>
    <row r="1" customFormat="false" ht="12.8" hidden="false" customHeight="false" outlineLevel="0" collapsed="false">
      <c r="A1" s="54" t="s">
        <v>157</v>
      </c>
      <c r="B1" s="54"/>
      <c r="C1" s="14" t="s">
        <v>158</v>
      </c>
      <c r="D1" s="14"/>
      <c r="E1" s="14"/>
      <c r="F1" s="14"/>
      <c r="G1" s="8" t="s">
        <v>159</v>
      </c>
      <c r="H1" s="8"/>
      <c r="I1" s="8"/>
      <c r="J1" s="8"/>
      <c r="K1" s="8"/>
    </row>
    <row r="2" customFormat="false" ht="12.8" hidden="false" customHeight="false" outlineLevel="0" collapsed="false">
      <c r="A2" s="54" t="s">
        <v>160</v>
      </c>
      <c r="B2" s="54" t="s">
        <v>161</v>
      </c>
      <c r="C2" s="14" t="s">
        <v>162</v>
      </c>
      <c r="D2" s="14" t="s">
        <v>163</v>
      </c>
      <c r="E2" s="14" t="s">
        <v>164</v>
      </c>
      <c r="F2" s="14" t="s">
        <v>165</v>
      </c>
      <c r="G2" s="8" t="s">
        <v>162</v>
      </c>
      <c r="H2" s="8" t="s">
        <v>166</v>
      </c>
      <c r="I2" s="8" t="s">
        <v>167</v>
      </c>
      <c r="J2" s="8" t="s">
        <v>168</v>
      </c>
      <c r="K2" s="8" t="s">
        <v>169</v>
      </c>
    </row>
    <row r="3" customFormat="false" ht="12.8" hidden="false" customHeight="false" outlineLevel="0" collapsed="false">
      <c r="A3" s="297" t="s">
        <v>170</v>
      </c>
      <c r="B3" s="298" t="n">
        <v>50</v>
      </c>
      <c r="C3" s="15" t="n">
        <v>6.25</v>
      </c>
      <c r="D3" s="15" t="n">
        <v>4.2</v>
      </c>
      <c r="E3" s="16" t="n">
        <f aca="false">(D3*F3*50000)/B3</f>
        <v>420</v>
      </c>
      <c r="F3" s="15" t="n">
        <v>0.1</v>
      </c>
      <c r="G3" s="9" t="n">
        <v>4.05</v>
      </c>
      <c r="H3" s="9" t="n">
        <v>3.95</v>
      </c>
      <c r="I3" s="10" t="n">
        <f aca="false">(H3*J3*60000)/B3</f>
        <v>474</v>
      </c>
      <c r="J3" s="9" t="n">
        <v>0.1</v>
      </c>
      <c r="K3" s="10" t="n">
        <f aca="false">I3/E3</f>
        <v>1.12857142857143</v>
      </c>
    </row>
    <row r="4" customFormat="false" ht="12.8" hidden="false" customHeight="false" outlineLevel="0" collapsed="false">
      <c r="A4" s="299" t="s">
        <v>171</v>
      </c>
      <c r="B4" s="300" t="n">
        <v>50</v>
      </c>
      <c r="C4" s="36" t="n">
        <v>5.78</v>
      </c>
      <c r="D4" s="36" t="n">
        <v>10.5</v>
      </c>
      <c r="E4" s="35" t="n">
        <f aca="false">(D4*F4*50000)/B4</f>
        <v>1050</v>
      </c>
      <c r="F4" s="36" t="n">
        <v>0.1</v>
      </c>
      <c r="G4" s="30" t="n">
        <v>4.01</v>
      </c>
      <c r="H4" s="30" t="n">
        <v>11.3</v>
      </c>
      <c r="I4" s="31" t="n">
        <f aca="false">(H4*J4*60000)/B4</f>
        <v>1356</v>
      </c>
      <c r="J4" s="30" t="n">
        <v>0.1</v>
      </c>
      <c r="K4" s="31" t="n">
        <f aca="false">I4/E4</f>
        <v>1.29142857142857</v>
      </c>
    </row>
    <row r="5" customFormat="false" ht="12.8" hidden="false" customHeight="false" outlineLevel="0" collapsed="false">
      <c r="A5" s="299" t="s">
        <v>172</v>
      </c>
      <c r="B5" s="300" t="n">
        <v>50</v>
      </c>
      <c r="C5" s="36" t="n">
        <v>7.89</v>
      </c>
      <c r="D5" s="36" t="n">
        <f aca="false">25+25+25+0.4</f>
        <v>75.4</v>
      </c>
      <c r="E5" s="35" t="n">
        <f aca="false">(D5*F5*50000)/B5</f>
        <v>7540</v>
      </c>
      <c r="F5" s="36" t="n">
        <v>0.1</v>
      </c>
      <c r="G5" s="30" t="n">
        <v>4.01</v>
      </c>
      <c r="H5" s="30" t="n">
        <v>21.55</v>
      </c>
      <c r="I5" s="31" t="n">
        <f aca="false">(H5*J5*60000)/B5</f>
        <v>2586</v>
      </c>
      <c r="J5" s="30" t="n">
        <v>0.1</v>
      </c>
      <c r="K5" s="31" t="n">
        <f aca="false">I5/E5</f>
        <v>0.342970822281167</v>
      </c>
    </row>
    <row r="6" customFormat="false" ht="12.8" hidden="false" customHeight="false" outlineLevel="0" collapsed="false">
      <c r="A6" s="299" t="n">
        <v>46028</v>
      </c>
      <c r="B6" s="300" t="n">
        <v>50</v>
      </c>
      <c r="C6" s="36" t="n">
        <v>7.65</v>
      </c>
      <c r="D6" s="36" t="n">
        <f aca="false">25+25+25+6.45</f>
        <v>81.45</v>
      </c>
      <c r="E6" s="35" t="n">
        <f aca="false">(D6*F6*50000)/B6</f>
        <v>8145</v>
      </c>
      <c r="F6" s="36" t="n">
        <v>0.1</v>
      </c>
      <c r="G6" s="30" t="n">
        <v>4.01</v>
      </c>
      <c r="H6" s="30" t="n">
        <f aca="false">25+4.95</f>
        <v>29.95</v>
      </c>
      <c r="I6" s="31" t="n">
        <f aca="false">(H6*J6*60000)/B6</f>
        <v>3594</v>
      </c>
      <c r="J6" s="30" t="n">
        <v>0.1</v>
      </c>
      <c r="K6" s="31" t="n">
        <f aca="false">I6/E6</f>
        <v>0.441252302025783</v>
      </c>
    </row>
    <row r="7" customFormat="false" ht="12.8" hidden="false" customHeight="false" outlineLevel="0" collapsed="false">
      <c r="A7" s="299" t="n">
        <v>46148</v>
      </c>
      <c r="B7" s="300" t="n">
        <v>50</v>
      </c>
      <c r="C7" s="36" t="n">
        <v>7.62</v>
      </c>
      <c r="D7" s="36" t="n">
        <v>7.05</v>
      </c>
      <c r="E7" s="35" t="n">
        <f aca="false">(D7*F7*50000)/B7</f>
        <v>7050</v>
      </c>
      <c r="F7" s="36" t="n">
        <v>1</v>
      </c>
      <c r="G7" s="30" t="n">
        <v>4.06</v>
      </c>
      <c r="H7" s="30" t="n">
        <v>3.45</v>
      </c>
      <c r="I7" s="31" t="n">
        <f aca="false">(H7*J7*60000)/B7</f>
        <v>4140</v>
      </c>
      <c r="J7" s="30" t="n">
        <v>1</v>
      </c>
      <c r="K7" s="31" t="n">
        <f aca="false">I7/E7</f>
        <v>0.587234042553191</v>
      </c>
    </row>
    <row r="8" customFormat="false" ht="12.8" hidden="false" customHeight="false" outlineLevel="0" collapsed="false">
      <c r="A8" s="299"/>
      <c r="B8" s="300"/>
      <c r="C8" s="36"/>
      <c r="D8" s="36"/>
      <c r="E8" s="35" t="e">
        <f aca="false">(D8*F8*50000)/B8</f>
        <v>#DIV/0!</v>
      </c>
      <c r="F8" s="36"/>
      <c r="G8" s="30"/>
      <c r="H8" s="30"/>
      <c r="I8" s="31" t="e">
        <f aca="false">(H8*J8*60000)/B8</f>
        <v>#DIV/0!</v>
      </c>
      <c r="J8" s="30"/>
      <c r="K8" s="31" t="e">
        <f aca="false">I8/E8</f>
        <v>#DIV/0!</v>
      </c>
    </row>
    <row r="9" customFormat="false" ht="12.8" hidden="false" customHeight="false" outlineLevel="0" collapsed="false">
      <c r="A9" s="299"/>
      <c r="B9" s="300"/>
      <c r="C9" s="36"/>
      <c r="D9" s="36"/>
      <c r="E9" s="35" t="e">
        <f aca="false">(D9*F9*50000)/B9</f>
        <v>#DIV/0!</v>
      </c>
      <c r="F9" s="36"/>
      <c r="G9" s="30"/>
      <c r="H9" s="30"/>
      <c r="I9" s="31" t="e">
        <f aca="false">(H9*J9*60000)/B9</f>
        <v>#DIV/0!</v>
      </c>
      <c r="J9" s="30"/>
      <c r="K9" s="31" t="e">
        <f aca="false">I9/E9</f>
        <v>#DIV/0!</v>
      </c>
    </row>
    <row r="10" customFormat="false" ht="12.8" hidden="false" customHeight="false" outlineLevel="0" collapsed="false">
      <c r="A10" s="299"/>
      <c r="B10" s="300"/>
      <c r="C10" s="36"/>
      <c r="D10" s="36"/>
      <c r="E10" s="35" t="e">
        <f aca="false">(D10*F10*50000)/B10</f>
        <v>#DIV/0!</v>
      </c>
      <c r="F10" s="36"/>
      <c r="G10" s="30"/>
      <c r="H10" s="30"/>
      <c r="I10" s="31" t="e">
        <f aca="false">(H10*J10*60000)/B10</f>
        <v>#DIV/0!</v>
      </c>
      <c r="J10" s="30"/>
      <c r="K10" s="31" t="e">
        <f aca="false">I10/E10</f>
        <v>#DIV/0!</v>
      </c>
    </row>
    <row r="11" customFormat="false" ht="12.8" hidden="false" customHeight="false" outlineLevel="0" collapsed="false">
      <c r="A11" s="299"/>
      <c r="B11" s="300"/>
      <c r="C11" s="36"/>
      <c r="D11" s="36"/>
      <c r="E11" s="35" t="e">
        <f aca="false">(D11*F11*50000)/B11</f>
        <v>#DIV/0!</v>
      </c>
      <c r="F11" s="36"/>
      <c r="G11" s="30"/>
      <c r="H11" s="30"/>
      <c r="I11" s="31" t="e">
        <f aca="false">(H11*J11*60000)/B11</f>
        <v>#DIV/0!</v>
      </c>
      <c r="J11" s="30"/>
      <c r="K11" s="31" t="e">
        <f aca="false">I11/E11</f>
        <v>#DIV/0!</v>
      </c>
    </row>
    <row r="12" customFormat="false" ht="12.8" hidden="false" customHeight="false" outlineLevel="0" collapsed="false">
      <c r="A12" s="299"/>
      <c r="B12" s="300"/>
      <c r="C12" s="36"/>
      <c r="D12" s="36"/>
      <c r="E12" s="35" t="e">
        <f aca="false">(D12*F12*50000)/B12</f>
        <v>#DIV/0!</v>
      </c>
      <c r="F12" s="36"/>
      <c r="G12" s="30"/>
      <c r="H12" s="30"/>
      <c r="I12" s="31" t="e">
        <f aca="false">(H12*J12*60000)/B12</f>
        <v>#DIV/0!</v>
      </c>
      <c r="J12" s="30"/>
      <c r="K12" s="31" t="e">
        <f aca="false">I12/E12</f>
        <v>#DIV/0!</v>
      </c>
    </row>
    <row r="13" customFormat="false" ht="12.8" hidden="false" customHeight="false" outlineLevel="0" collapsed="false">
      <c r="A13" s="299"/>
      <c r="B13" s="300"/>
      <c r="C13" s="36"/>
      <c r="D13" s="36"/>
      <c r="E13" s="35" t="e">
        <f aca="false">(D13*F13*50000)/B13</f>
        <v>#DIV/0!</v>
      </c>
      <c r="F13" s="36"/>
      <c r="G13" s="30"/>
      <c r="H13" s="30"/>
      <c r="I13" s="31" t="e">
        <f aca="false">(H13*J13*60000)/B13</f>
        <v>#DIV/0!</v>
      </c>
      <c r="J13" s="30"/>
      <c r="K13" s="31" t="e">
        <f aca="false">I13/E13</f>
        <v>#DIV/0!</v>
      </c>
    </row>
    <row r="14" customFormat="false" ht="12.8" hidden="false" customHeight="false" outlineLevel="0" collapsed="false">
      <c r="A14" s="299"/>
      <c r="B14" s="300"/>
      <c r="C14" s="36"/>
      <c r="D14" s="36"/>
      <c r="E14" s="35" t="e">
        <f aca="false">(D14*F14*50000)/B14</f>
        <v>#DIV/0!</v>
      </c>
      <c r="F14" s="36"/>
      <c r="G14" s="30"/>
      <c r="H14" s="30"/>
      <c r="I14" s="31" t="e">
        <f aca="false">(H14*J14*60000)/B14</f>
        <v>#DIV/0!</v>
      </c>
      <c r="J14" s="30"/>
      <c r="K14" s="31" t="e">
        <f aca="false">I14/E14</f>
        <v>#DIV/0!</v>
      </c>
    </row>
    <row r="15" customFormat="false" ht="12.8" hidden="false" customHeight="false" outlineLevel="0" collapsed="false">
      <c r="A15" s="299"/>
      <c r="B15" s="300"/>
      <c r="C15" s="36"/>
      <c r="D15" s="36"/>
      <c r="E15" s="35" t="e">
        <f aca="false">(D15*F15*50000)/B15</f>
        <v>#DIV/0!</v>
      </c>
      <c r="F15" s="36"/>
      <c r="G15" s="30"/>
      <c r="H15" s="30"/>
      <c r="I15" s="31" t="e">
        <f aca="false">(H15*J15*60000)/B15</f>
        <v>#DIV/0!</v>
      </c>
      <c r="J15" s="30"/>
      <c r="K15" s="31" t="e">
        <f aca="false">I15/E15</f>
        <v>#DIV/0!</v>
      </c>
    </row>
    <row r="16" customFormat="false" ht="12.8" hidden="false" customHeight="false" outlineLevel="0" collapsed="false">
      <c r="A16" s="299"/>
      <c r="B16" s="300"/>
      <c r="C16" s="36"/>
      <c r="D16" s="36"/>
      <c r="E16" s="35" t="e">
        <f aca="false">(D16*F16*50000)/B16</f>
        <v>#DIV/0!</v>
      </c>
      <c r="F16" s="36"/>
      <c r="G16" s="30"/>
      <c r="H16" s="30"/>
      <c r="I16" s="31" t="e">
        <f aca="false">(H16*J16*60000)/B16</f>
        <v>#DIV/0!</v>
      </c>
      <c r="J16" s="30"/>
      <c r="K16" s="31" t="e">
        <f aca="false">I16/E16</f>
        <v>#DIV/0!</v>
      </c>
    </row>
    <row r="17" customFormat="false" ht="12.8" hidden="false" customHeight="false" outlineLevel="0" collapsed="false">
      <c r="A17" s="299"/>
      <c r="B17" s="300"/>
      <c r="C17" s="36"/>
      <c r="D17" s="36"/>
      <c r="E17" s="35" t="e">
        <f aca="false">(D17*F17*50000)/B17</f>
        <v>#DIV/0!</v>
      </c>
      <c r="F17" s="36"/>
      <c r="G17" s="30"/>
      <c r="H17" s="30"/>
      <c r="I17" s="31" t="e">
        <f aca="false">(H17*J17*60000)/B17</f>
        <v>#DIV/0!</v>
      </c>
      <c r="J17" s="30"/>
      <c r="K17" s="31" t="e">
        <f aca="false">I17/E17</f>
        <v>#DIV/0!</v>
      </c>
    </row>
    <row r="18" customFormat="false" ht="12.8" hidden="false" customHeight="false" outlineLevel="0" collapsed="false">
      <c r="A18" s="299"/>
      <c r="B18" s="300"/>
      <c r="C18" s="36"/>
      <c r="D18" s="36"/>
      <c r="E18" s="35" t="e">
        <f aca="false">(D18*F18*50000)/B18</f>
        <v>#DIV/0!</v>
      </c>
      <c r="F18" s="36"/>
      <c r="G18" s="30"/>
      <c r="H18" s="30"/>
      <c r="I18" s="31" t="e">
        <f aca="false">(H18*J18*60000)/B18</f>
        <v>#DIV/0!</v>
      </c>
      <c r="J18" s="30"/>
      <c r="K18" s="31" t="e">
        <f aca="false">I18/E18</f>
        <v>#DIV/0!</v>
      </c>
    </row>
  </sheetData>
  <mergeCells count="3">
    <mergeCell ref="A1:B1"/>
    <mergeCell ref="C1:F1"/>
    <mergeCell ref="G1:K1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17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36" activeCellId="0" sqref="M3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13.12"/>
    <col collapsed="false" customWidth="true" hidden="false" outlineLevel="0" max="3" min="3" style="0" width="13.95"/>
    <col collapsed="false" customWidth="true" hidden="false" outlineLevel="0" max="6" min="6" style="0" width="13.12"/>
    <col collapsed="false" customWidth="true" hidden="false" outlineLevel="0" max="10" min="10" style="0" width="13.12"/>
  </cols>
  <sheetData>
    <row r="2" customFormat="false" ht="12.8" hidden="false" customHeight="false" outlineLevel="0" collapsed="false">
      <c r="A2" s="0" t="s">
        <v>173</v>
      </c>
      <c r="B2" s="0" t="s">
        <v>174</v>
      </c>
      <c r="C2" s="0" t="s">
        <v>175</v>
      </c>
      <c r="E2" s="0" t="s">
        <v>176</v>
      </c>
      <c r="F2" s="0" t="s">
        <v>174</v>
      </c>
      <c r="G2" s="0" t="s">
        <v>177</v>
      </c>
      <c r="I2" s="0" t="s">
        <v>176</v>
      </c>
      <c r="J2" s="0" t="s">
        <v>174</v>
      </c>
      <c r="K2" s="0" t="s">
        <v>177</v>
      </c>
    </row>
    <row r="3" customFormat="false" ht="12.8" hidden="false" customHeight="false" outlineLevel="0" collapsed="false">
      <c r="A3" s="0" t="n">
        <v>0</v>
      </c>
      <c r="B3" s="0" t="n">
        <v>0</v>
      </c>
      <c r="C3" s="0" t="n">
        <v>0</v>
      </c>
      <c r="E3" s="0" t="n">
        <v>0</v>
      </c>
      <c r="F3" s="0" t="n">
        <v>0</v>
      </c>
      <c r="G3" s="0" t="n">
        <v>0</v>
      </c>
      <c r="I3" s="0" t="n">
        <v>0</v>
      </c>
      <c r="J3" s="0" t="n">
        <v>0</v>
      </c>
      <c r="K3" s="0" t="n">
        <v>0</v>
      </c>
    </row>
    <row r="4" customFormat="false" ht="12.8" hidden="false" customHeight="false" outlineLevel="0" collapsed="false">
      <c r="A4" s="0" t="n">
        <v>1</v>
      </c>
      <c r="B4" s="0" t="n">
        <v>0</v>
      </c>
      <c r="C4" s="0" t="n">
        <v>0</v>
      </c>
      <c r="E4" s="0" t="n">
        <v>1</v>
      </c>
      <c r="F4" s="0" t="n">
        <v>0</v>
      </c>
      <c r="G4" s="0" t="n">
        <v>0</v>
      </c>
      <c r="I4" s="0" t="n">
        <v>0.25</v>
      </c>
      <c r="J4" s="0" t="n">
        <v>0</v>
      </c>
      <c r="K4" s="0" t="n">
        <v>0</v>
      </c>
    </row>
    <row r="5" customFormat="false" ht="12.8" hidden="false" customHeight="false" outlineLevel="0" collapsed="false">
      <c r="A5" s="0" t="n">
        <v>2</v>
      </c>
      <c r="B5" s="0" t="n">
        <v>0</v>
      </c>
      <c r="C5" s="0" t="n">
        <v>0</v>
      </c>
      <c r="E5" s="0" t="n">
        <v>2</v>
      </c>
      <c r="F5" s="0" t="n">
        <v>0</v>
      </c>
      <c r="G5" s="0" t="n">
        <v>0</v>
      </c>
      <c r="I5" s="0" t="n">
        <v>0.5</v>
      </c>
      <c r="J5" s="0" t="n">
        <v>0</v>
      </c>
      <c r="K5" s="0" t="n">
        <v>0</v>
      </c>
    </row>
    <row r="6" customFormat="false" ht="12.8" hidden="false" customHeight="false" outlineLevel="0" collapsed="false">
      <c r="A6" s="0" t="n">
        <v>3</v>
      </c>
      <c r="B6" s="0" t="n">
        <v>1.1</v>
      </c>
      <c r="C6" s="0" t="n">
        <v>1.1</v>
      </c>
      <c r="E6" s="0" t="n">
        <v>3</v>
      </c>
      <c r="F6" s="0" t="n">
        <v>0</v>
      </c>
      <c r="G6" s="0" t="n">
        <v>0</v>
      </c>
      <c r="I6" s="0" t="n">
        <v>0.75</v>
      </c>
      <c r="J6" s="0" t="n">
        <v>0</v>
      </c>
      <c r="K6" s="0" t="n">
        <v>0</v>
      </c>
    </row>
    <row r="7" customFormat="false" ht="12.8" hidden="false" customHeight="false" outlineLevel="0" collapsed="false">
      <c r="A7" s="0" t="n">
        <v>4</v>
      </c>
      <c r="B7" s="0" t="n">
        <v>9.1</v>
      </c>
      <c r="C7" s="0" t="n">
        <v>8</v>
      </c>
      <c r="E7" s="0" t="n">
        <v>4</v>
      </c>
      <c r="F7" s="0" t="n">
        <v>0</v>
      </c>
      <c r="G7" s="0" t="n">
        <v>0</v>
      </c>
      <c r="I7" s="0" t="n">
        <v>1</v>
      </c>
      <c r="J7" s="0" t="n">
        <v>0</v>
      </c>
      <c r="K7" s="0" t="n">
        <v>0</v>
      </c>
    </row>
    <row r="8" customFormat="false" ht="12.8" hidden="false" customHeight="false" outlineLevel="0" collapsed="false">
      <c r="A8" s="0" t="n">
        <v>5</v>
      </c>
      <c r="B8" s="0" t="n">
        <v>13.4</v>
      </c>
      <c r="C8" s="0" t="n">
        <v>4.4</v>
      </c>
      <c r="E8" s="0" t="n">
        <v>5</v>
      </c>
      <c r="F8" s="0" t="n">
        <v>0</v>
      </c>
      <c r="G8" s="0" t="n">
        <v>0</v>
      </c>
      <c r="I8" s="0" t="n">
        <v>1.25</v>
      </c>
      <c r="J8" s="0" t="n">
        <v>0</v>
      </c>
      <c r="K8" s="0" t="n">
        <v>0</v>
      </c>
    </row>
    <row r="9" customFormat="false" ht="12.8" hidden="false" customHeight="false" outlineLevel="0" collapsed="false">
      <c r="A9" s="0" t="n">
        <v>6</v>
      </c>
      <c r="B9" s="0" t="n">
        <v>29.8</v>
      </c>
      <c r="C9" s="0" t="n">
        <v>16.4</v>
      </c>
      <c r="E9" s="0" t="n">
        <v>6</v>
      </c>
      <c r="F9" s="0" t="n">
        <v>0</v>
      </c>
      <c r="G9" s="0" t="n">
        <v>0</v>
      </c>
      <c r="I9" s="0" t="n">
        <v>1.5</v>
      </c>
      <c r="J9" s="0" t="n">
        <v>0</v>
      </c>
      <c r="K9" s="0" t="n">
        <v>0</v>
      </c>
    </row>
    <row r="10" customFormat="false" ht="12.8" hidden="false" customHeight="false" outlineLevel="0" collapsed="false">
      <c r="A10" s="0" t="n">
        <v>7</v>
      </c>
      <c r="B10" s="0" t="n">
        <v>55.8</v>
      </c>
      <c r="C10" s="0" t="n">
        <v>25.9</v>
      </c>
      <c r="E10" s="0" t="n">
        <v>7</v>
      </c>
      <c r="F10" s="0" t="n">
        <v>0</v>
      </c>
      <c r="G10" s="0" t="n">
        <v>0</v>
      </c>
      <c r="I10" s="0" t="n">
        <v>1.75</v>
      </c>
      <c r="J10" s="0" t="n">
        <v>0</v>
      </c>
      <c r="K10" s="0" t="n">
        <v>0</v>
      </c>
    </row>
    <row r="11" customFormat="false" ht="12.8" hidden="false" customHeight="false" outlineLevel="0" collapsed="false">
      <c r="A11" s="0" t="n">
        <v>8</v>
      </c>
      <c r="B11" s="0" t="n">
        <v>124.6</v>
      </c>
      <c r="C11" s="0" t="n">
        <v>68.9</v>
      </c>
      <c r="E11" s="0" t="n">
        <v>8</v>
      </c>
      <c r="F11" s="0" t="n">
        <v>0</v>
      </c>
      <c r="G11" s="0" t="n">
        <v>0</v>
      </c>
      <c r="I11" s="0" t="n">
        <v>2</v>
      </c>
      <c r="J11" s="0" t="n">
        <v>0</v>
      </c>
      <c r="K11" s="0" t="n">
        <v>0</v>
      </c>
    </row>
    <row r="12" customFormat="false" ht="12.8" hidden="false" customHeight="false" outlineLevel="0" collapsed="false">
      <c r="A12" s="0" t="n">
        <v>9</v>
      </c>
      <c r="B12" s="0" t="n">
        <v>149.1</v>
      </c>
      <c r="C12" s="0" t="n">
        <v>24.4</v>
      </c>
      <c r="E12" s="0" t="n">
        <v>9</v>
      </c>
      <c r="F12" s="0" t="n">
        <v>0</v>
      </c>
      <c r="G12" s="0" t="n">
        <v>0</v>
      </c>
      <c r="I12" s="0" t="n">
        <v>2.25</v>
      </c>
      <c r="J12" s="0" t="n">
        <v>0</v>
      </c>
      <c r="K12" s="0" t="n">
        <v>0</v>
      </c>
    </row>
    <row r="13" customFormat="false" ht="12.8" hidden="false" customHeight="false" outlineLevel="0" collapsed="false">
      <c r="A13" s="0" t="n">
        <v>10</v>
      </c>
      <c r="B13" s="0" t="n">
        <v>217.4</v>
      </c>
      <c r="C13" s="0" t="n">
        <v>68.3</v>
      </c>
      <c r="E13" s="0" t="n">
        <v>10</v>
      </c>
      <c r="F13" s="0" t="n">
        <v>0</v>
      </c>
      <c r="G13" s="0" t="n">
        <v>0</v>
      </c>
      <c r="I13" s="0" t="n">
        <v>2.5</v>
      </c>
      <c r="J13" s="0" t="n">
        <v>0</v>
      </c>
      <c r="K13" s="0" t="n">
        <v>0</v>
      </c>
    </row>
    <row r="14" customFormat="false" ht="12.8" hidden="false" customHeight="false" outlineLevel="0" collapsed="false">
      <c r="A14" s="0" t="n">
        <v>11</v>
      </c>
      <c r="B14" s="0" t="n">
        <v>267.9</v>
      </c>
      <c r="C14" s="0" t="n">
        <v>50.5</v>
      </c>
      <c r="E14" s="0" t="n">
        <v>11</v>
      </c>
      <c r="F14" s="0" t="n">
        <v>0</v>
      </c>
      <c r="G14" s="0" t="n">
        <v>0</v>
      </c>
      <c r="I14" s="0" t="n">
        <v>2.75</v>
      </c>
      <c r="J14" s="0" t="n">
        <v>0</v>
      </c>
      <c r="K14" s="0" t="n">
        <v>0</v>
      </c>
    </row>
    <row r="15" customFormat="false" ht="12.8" hidden="false" customHeight="false" outlineLevel="0" collapsed="false">
      <c r="A15" s="0" t="n">
        <v>12</v>
      </c>
      <c r="B15" s="0" t="n">
        <v>305.8</v>
      </c>
      <c r="C15" s="0" t="n">
        <v>37.9</v>
      </c>
      <c r="E15" s="0" t="n">
        <v>12</v>
      </c>
      <c r="F15" s="0" t="n">
        <v>0</v>
      </c>
      <c r="G15" s="0" t="n">
        <v>0</v>
      </c>
      <c r="I15" s="0" t="n">
        <v>3</v>
      </c>
      <c r="J15" s="0" t="n">
        <v>0</v>
      </c>
      <c r="K15" s="0" t="n">
        <v>0</v>
      </c>
    </row>
    <row r="16" customFormat="false" ht="12.8" hidden="false" customHeight="false" outlineLevel="0" collapsed="false">
      <c r="A16" s="0" t="n">
        <v>13</v>
      </c>
      <c r="B16" s="0" t="n">
        <v>350.2</v>
      </c>
      <c r="C16" s="0" t="n">
        <v>44.4</v>
      </c>
      <c r="E16" s="0" t="n">
        <v>13</v>
      </c>
      <c r="F16" s="0" t="n">
        <v>0</v>
      </c>
      <c r="G16" s="0" t="n">
        <v>0</v>
      </c>
      <c r="I16" s="0" t="n">
        <v>3.25</v>
      </c>
      <c r="J16" s="0" t="n">
        <v>0</v>
      </c>
      <c r="K16" s="0" t="n">
        <v>0</v>
      </c>
    </row>
    <row r="17" customFormat="false" ht="12.8" hidden="false" customHeight="false" outlineLevel="0" collapsed="false">
      <c r="A17" s="0" t="n">
        <v>14</v>
      </c>
      <c r="B17" s="0" t="n">
        <v>393.7</v>
      </c>
      <c r="C17" s="0" t="n">
        <v>43.4</v>
      </c>
      <c r="E17" s="0" t="n">
        <v>14</v>
      </c>
      <c r="F17" s="0" t="n">
        <v>0</v>
      </c>
      <c r="G17" s="0" t="n">
        <v>0</v>
      </c>
      <c r="I17" s="0" t="n">
        <v>3.5</v>
      </c>
      <c r="J17" s="0" t="n">
        <v>0</v>
      </c>
      <c r="K17" s="0" t="n">
        <v>0</v>
      </c>
    </row>
    <row r="18" customFormat="false" ht="12.8" hidden="false" customHeight="false" outlineLevel="0" collapsed="false">
      <c r="A18" s="0" t="n">
        <v>15</v>
      </c>
      <c r="B18" s="0" t="n">
        <v>430.7</v>
      </c>
      <c r="C18" s="0" t="n">
        <v>37</v>
      </c>
      <c r="E18" s="0" t="n">
        <v>15</v>
      </c>
      <c r="F18" s="0" t="n">
        <v>0</v>
      </c>
      <c r="G18" s="0" t="n">
        <v>0</v>
      </c>
      <c r="I18" s="0" t="n">
        <v>3.75</v>
      </c>
      <c r="J18" s="0" t="n">
        <v>0</v>
      </c>
      <c r="K18" s="0" t="n">
        <v>0</v>
      </c>
    </row>
    <row r="19" customFormat="false" ht="12.8" hidden="false" customHeight="false" outlineLevel="0" collapsed="false">
      <c r="A19" s="0" t="n">
        <v>16</v>
      </c>
      <c r="B19" s="0" t="n">
        <v>478.4</v>
      </c>
      <c r="C19" s="0" t="n">
        <v>47.7</v>
      </c>
      <c r="E19" s="0" t="n">
        <v>16</v>
      </c>
      <c r="F19" s="0" t="n">
        <v>0</v>
      </c>
      <c r="G19" s="0" t="n">
        <v>0</v>
      </c>
      <c r="I19" s="0" t="n">
        <v>4</v>
      </c>
      <c r="J19" s="0" t="n">
        <v>0</v>
      </c>
      <c r="K19" s="0" t="n">
        <v>0</v>
      </c>
    </row>
    <row r="20" customFormat="false" ht="12.8" hidden="false" customHeight="false" outlineLevel="0" collapsed="false">
      <c r="A20" s="0" t="n">
        <v>17</v>
      </c>
      <c r="B20" s="0" t="n">
        <v>522.9</v>
      </c>
      <c r="C20" s="0" t="n">
        <v>44.5</v>
      </c>
      <c r="E20" s="0" t="n">
        <v>17</v>
      </c>
      <c r="F20" s="0" t="n">
        <v>0</v>
      </c>
      <c r="G20" s="0" t="n">
        <v>0</v>
      </c>
      <c r="I20" s="0" t="n">
        <v>4.25</v>
      </c>
      <c r="J20" s="0" t="n">
        <v>0</v>
      </c>
      <c r="K20" s="0" t="n">
        <v>0</v>
      </c>
    </row>
    <row r="21" customFormat="false" ht="12.8" hidden="false" customHeight="false" outlineLevel="0" collapsed="false">
      <c r="A21" s="0" t="n">
        <v>18</v>
      </c>
      <c r="B21" s="0" t="n">
        <v>555</v>
      </c>
      <c r="C21" s="0" t="n">
        <v>36</v>
      </c>
      <c r="E21" s="0" t="n">
        <v>18</v>
      </c>
      <c r="F21" s="0" t="n">
        <v>0</v>
      </c>
      <c r="G21" s="0" t="n">
        <v>0</v>
      </c>
      <c r="I21" s="0" t="n">
        <v>4.5</v>
      </c>
      <c r="J21" s="0" t="n">
        <v>0</v>
      </c>
      <c r="K21" s="0" t="n">
        <v>0</v>
      </c>
    </row>
    <row r="22" customFormat="false" ht="12.8" hidden="false" customHeight="false" outlineLevel="0" collapsed="false">
      <c r="E22" s="0" t="n">
        <v>19</v>
      </c>
      <c r="F22" s="0" t="n">
        <v>0</v>
      </c>
      <c r="G22" s="0" t="n">
        <v>0</v>
      </c>
      <c r="I22" s="0" t="n">
        <v>4.75</v>
      </c>
      <c r="J22" s="0" t="n">
        <v>0</v>
      </c>
      <c r="K22" s="0" t="n">
        <v>0</v>
      </c>
    </row>
    <row r="23" customFormat="false" ht="12.8" hidden="false" customHeight="false" outlineLevel="0" collapsed="false">
      <c r="E23" s="0" t="n">
        <v>20</v>
      </c>
      <c r="F23" s="0" t="n">
        <v>0</v>
      </c>
      <c r="G23" s="0" t="n">
        <v>0</v>
      </c>
      <c r="I23" s="0" t="n">
        <v>5</v>
      </c>
      <c r="J23" s="0" t="n">
        <v>0</v>
      </c>
      <c r="K23" s="0" t="n">
        <v>0</v>
      </c>
    </row>
    <row r="24" customFormat="false" ht="12.8" hidden="false" customHeight="false" outlineLevel="0" collapsed="false">
      <c r="E24" s="0" t="n">
        <v>21</v>
      </c>
      <c r="F24" s="0" t="n">
        <v>0</v>
      </c>
      <c r="G24" s="0" t="n">
        <v>0</v>
      </c>
      <c r="I24" s="0" t="n">
        <v>5.25</v>
      </c>
      <c r="J24" s="0" t="n">
        <v>0</v>
      </c>
      <c r="K24" s="0" t="n">
        <v>0</v>
      </c>
    </row>
    <row r="25" customFormat="false" ht="12.8" hidden="false" customHeight="false" outlineLevel="0" collapsed="false">
      <c r="E25" s="0" t="n">
        <v>22</v>
      </c>
      <c r="F25" s="0" t="n">
        <v>0</v>
      </c>
      <c r="G25" s="0" t="n">
        <v>0</v>
      </c>
      <c r="I25" s="0" t="n">
        <v>5.5</v>
      </c>
      <c r="J25" s="0" t="n">
        <v>0</v>
      </c>
      <c r="K25" s="0" t="n">
        <v>0</v>
      </c>
    </row>
    <row r="26" customFormat="false" ht="12.8" hidden="false" customHeight="false" outlineLevel="0" collapsed="false">
      <c r="E26" s="0" t="n">
        <v>23</v>
      </c>
      <c r="F26" s="0" t="n">
        <v>0</v>
      </c>
      <c r="G26" s="0" t="n">
        <v>0</v>
      </c>
      <c r="I26" s="0" t="n">
        <v>5.75</v>
      </c>
      <c r="J26" s="0" t="n">
        <v>0</v>
      </c>
      <c r="K26" s="0" t="n">
        <v>0</v>
      </c>
    </row>
    <row r="27" customFormat="false" ht="12.8" hidden="false" customHeight="false" outlineLevel="0" collapsed="false">
      <c r="E27" s="0" t="n">
        <v>24</v>
      </c>
      <c r="F27" s="0" t="n">
        <v>0</v>
      </c>
      <c r="G27" s="0" t="n">
        <v>0</v>
      </c>
      <c r="I27" s="0" t="n">
        <v>6</v>
      </c>
      <c r="J27" s="0" t="n">
        <v>0</v>
      </c>
      <c r="K27" s="0" t="n">
        <v>0</v>
      </c>
    </row>
    <row r="28" customFormat="false" ht="12.8" hidden="false" customHeight="false" outlineLevel="0" collapsed="false">
      <c r="E28" s="0" t="n">
        <v>25</v>
      </c>
      <c r="F28" s="0" t="n">
        <v>0</v>
      </c>
      <c r="G28" s="0" t="n">
        <v>0</v>
      </c>
      <c r="I28" s="0" t="n">
        <v>6.25</v>
      </c>
      <c r="J28" s="0" t="n">
        <v>0</v>
      </c>
      <c r="K28" s="0" t="n">
        <v>0</v>
      </c>
    </row>
    <row r="29" customFormat="false" ht="12.8" hidden="false" customHeight="false" outlineLevel="0" collapsed="false">
      <c r="E29" s="0" t="n">
        <v>26</v>
      </c>
      <c r="F29" s="0" t="n">
        <v>0</v>
      </c>
      <c r="G29" s="0" t="n">
        <v>0</v>
      </c>
      <c r="I29" s="0" t="n">
        <v>6.5</v>
      </c>
      <c r="J29" s="0" t="n">
        <v>0</v>
      </c>
      <c r="K29" s="0" t="n">
        <v>0</v>
      </c>
    </row>
    <row r="30" customFormat="false" ht="12.8" hidden="false" customHeight="false" outlineLevel="0" collapsed="false">
      <c r="E30" s="0" t="n">
        <v>27</v>
      </c>
      <c r="F30" s="0" t="n">
        <v>0</v>
      </c>
      <c r="G30" s="0" t="n">
        <v>0</v>
      </c>
      <c r="I30" s="0" t="n">
        <v>6.75</v>
      </c>
      <c r="J30" s="0" t="n">
        <v>0</v>
      </c>
      <c r="K30" s="0" t="n">
        <v>0</v>
      </c>
    </row>
    <row r="31" customFormat="false" ht="12.8" hidden="false" customHeight="false" outlineLevel="0" collapsed="false">
      <c r="E31" s="0" t="n">
        <v>28</v>
      </c>
      <c r="F31" s="0" t="n">
        <v>0</v>
      </c>
      <c r="G31" s="0" t="n">
        <v>0</v>
      </c>
      <c r="I31" s="0" t="n">
        <v>7</v>
      </c>
      <c r="J31" s="0" t="n">
        <v>0</v>
      </c>
      <c r="K31" s="0" t="n">
        <v>0</v>
      </c>
    </row>
    <row r="32" customFormat="false" ht="12.8" hidden="false" customHeight="false" outlineLevel="0" collapsed="false">
      <c r="E32" s="0" t="n">
        <v>29</v>
      </c>
      <c r="F32" s="0" t="n">
        <v>0</v>
      </c>
      <c r="G32" s="0" t="n">
        <v>0</v>
      </c>
      <c r="I32" s="0" t="n">
        <v>7.25</v>
      </c>
      <c r="J32" s="0" t="n">
        <v>0</v>
      </c>
      <c r="K32" s="0" t="n">
        <v>0</v>
      </c>
    </row>
    <row r="33" customFormat="false" ht="12.8" hidden="false" customHeight="false" outlineLevel="0" collapsed="false">
      <c r="E33" s="0" t="n">
        <v>30</v>
      </c>
      <c r="F33" s="0" t="n">
        <v>0</v>
      </c>
      <c r="G33" s="0" t="n">
        <v>0</v>
      </c>
      <c r="I33" s="0" t="n">
        <v>7.5</v>
      </c>
      <c r="J33" s="0" t="n">
        <v>0</v>
      </c>
      <c r="K33" s="0" t="n">
        <v>0</v>
      </c>
    </row>
    <row r="34" customFormat="false" ht="12.8" hidden="false" customHeight="false" outlineLevel="0" collapsed="false">
      <c r="E34" s="0" t="n">
        <v>31</v>
      </c>
      <c r="F34" s="0" t="n">
        <v>0</v>
      </c>
      <c r="G34" s="0" t="n">
        <v>0</v>
      </c>
      <c r="I34" s="0" t="n">
        <v>7.75</v>
      </c>
      <c r="J34" s="0" t="n">
        <v>0</v>
      </c>
      <c r="K34" s="0" t="n">
        <v>0</v>
      </c>
    </row>
    <row r="35" customFormat="false" ht="12.8" hidden="false" customHeight="false" outlineLevel="0" collapsed="false">
      <c r="E35" s="0" t="n">
        <v>32</v>
      </c>
      <c r="F35" s="0" t="n">
        <v>0</v>
      </c>
      <c r="G35" s="0" t="n">
        <v>0</v>
      </c>
      <c r="I35" s="0" t="n">
        <v>8</v>
      </c>
      <c r="J35" s="0" t="n">
        <v>0</v>
      </c>
      <c r="K35" s="0" t="n">
        <v>0</v>
      </c>
    </row>
    <row r="36" customFormat="false" ht="12.8" hidden="false" customHeight="false" outlineLevel="0" collapsed="false">
      <c r="E36" s="0" t="n">
        <v>33</v>
      </c>
      <c r="F36" s="0" t="n">
        <v>0</v>
      </c>
      <c r="G36" s="0" t="n">
        <v>0</v>
      </c>
      <c r="I36" s="0" t="n">
        <v>8.25</v>
      </c>
      <c r="J36" s="0" t="n">
        <v>0</v>
      </c>
      <c r="K36" s="0" t="n">
        <v>0</v>
      </c>
    </row>
    <row r="37" customFormat="false" ht="12.8" hidden="false" customHeight="false" outlineLevel="0" collapsed="false">
      <c r="E37" s="0" t="n">
        <v>34</v>
      </c>
      <c r="F37" s="0" t="n">
        <v>0</v>
      </c>
      <c r="G37" s="0" t="n">
        <v>0</v>
      </c>
      <c r="I37" s="0" t="n">
        <v>8.5</v>
      </c>
      <c r="J37" s="0" t="n">
        <v>0</v>
      </c>
      <c r="K37" s="0" t="n">
        <v>0</v>
      </c>
    </row>
    <row r="38" customFormat="false" ht="12.8" hidden="false" customHeight="false" outlineLevel="0" collapsed="false">
      <c r="E38" s="0" t="n">
        <v>35</v>
      </c>
      <c r="F38" s="0" t="n">
        <v>0</v>
      </c>
      <c r="G38" s="0" t="n">
        <v>0</v>
      </c>
      <c r="I38" s="0" t="n">
        <v>8.75</v>
      </c>
      <c r="J38" s="0" t="n">
        <v>0</v>
      </c>
      <c r="K38" s="0" t="n">
        <v>0</v>
      </c>
    </row>
    <row r="39" customFormat="false" ht="12.8" hidden="false" customHeight="false" outlineLevel="0" collapsed="false">
      <c r="E39" s="0" t="n">
        <v>36</v>
      </c>
      <c r="F39" s="0" t="n">
        <v>0</v>
      </c>
      <c r="G39" s="0" t="n">
        <v>0</v>
      </c>
      <c r="I39" s="0" t="n">
        <v>9</v>
      </c>
      <c r="J39" s="0" t="n">
        <v>0</v>
      </c>
      <c r="K39" s="0" t="n">
        <v>0</v>
      </c>
    </row>
    <row r="40" customFormat="false" ht="12.8" hidden="false" customHeight="false" outlineLevel="0" collapsed="false">
      <c r="E40" s="0" t="n">
        <v>37</v>
      </c>
      <c r="F40" s="0" t="n">
        <v>0</v>
      </c>
      <c r="G40" s="0" t="n">
        <v>0</v>
      </c>
      <c r="I40" s="0" t="n">
        <v>9.25</v>
      </c>
      <c r="J40" s="0" t="n">
        <v>0</v>
      </c>
      <c r="K40" s="0" t="n">
        <v>0</v>
      </c>
    </row>
    <row r="41" customFormat="false" ht="12.8" hidden="false" customHeight="false" outlineLevel="0" collapsed="false">
      <c r="E41" s="0" t="n">
        <v>38</v>
      </c>
      <c r="F41" s="0" t="n">
        <v>0</v>
      </c>
      <c r="G41" s="0" t="n">
        <v>0</v>
      </c>
      <c r="I41" s="0" t="n">
        <v>9.5</v>
      </c>
      <c r="J41" s="0" t="n">
        <v>0</v>
      </c>
      <c r="K41" s="0" t="n">
        <v>0</v>
      </c>
    </row>
    <row r="42" customFormat="false" ht="12.8" hidden="false" customHeight="false" outlineLevel="0" collapsed="false">
      <c r="E42" s="0" t="n">
        <v>39</v>
      </c>
      <c r="F42" s="0" t="n">
        <v>0</v>
      </c>
      <c r="G42" s="0" t="n">
        <v>0</v>
      </c>
      <c r="I42" s="0" t="n">
        <v>9.75</v>
      </c>
      <c r="J42" s="0" t="n">
        <v>0</v>
      </c>
      <c r="K42" s="0" t="n">
        <v>0</v>
      </c>
    </row>
    <row r="43" customFormat="false" ht="12.8" hidden="false" customHeight="false" outlineLevel="0" collapsed="false">
      <c r="E43" s="0" t="n">
        <v>40</v>
      </c>
      <c r="F43" s="0" t="n">
        <v>0</v>
      </c>
      <c r="G43" s="0" t="n">
        <v>0</v>
      </c>
      <c r="I43" s="0" t="n">
        <v>10</v>
      </c>
      <c r="J43" s="0" t="n">
        <v>0</v>
      </c>
      <c r="K43" s="0" t="n">
        <v>0</v>
      </c>
    </row>
    <row r="44" customFormat="false" ht="12.8" hidden="false" customHeight="false" outlineLevel="0" collapsed="false">
      <c r="E44" s="0" t="n">
        <v>41</v>
      </c>
      <c r="F44" s="0" t="n">
        <v>0</v>
      </c>
      <c r="G44" s="0" t="n">
        <v>0</v>
      </c>
      <c r="I44" s="0" t="n">
        <v>10.25</v>
      </c>
      <c r="J44" s="0" t="n">
        <v>0</v>
      </c>
      <c r="K44" s="0" t="n">
        <v>0</v>
      </c>
    </row>
    <row r="45" customFormat="false" ht="12.8" hidden="false" customHeight="false" outlineLevel="0" collapsed="false">
      <c r="E45" s="0" t="n">
        <v>42</v>
      </c>
      <c r="F45" s="0" t="n">
        <v>0</v>
      </c>
      <c r="G45" s="0" t="n">
        <v>0</v>
      </c>
      <c r="I45" s="0" t="n">
        <v>10.5</v>
      </c>
      <c r="J45" s="0" t="n">
        <v>0</v>
      </c>
      <c r="K45" s="0" t="n">
        <v>0</v>
      </c>
    </row>
    <row r="46" customFormat="false" ht="12.8" hidden="false" customHeight="false" outlineLevel="0" collapsed="false">
      <c r="E46" s="0" t="n">
        <v>43</v>
      </c>
      <c r="F46" s="0" t="n">
        <v>0</v>
      </c>
      <c r="G46" s="0" t="n">
        <v>0</v>
      </c>
      <c r="I46" s="0" t="n">
        <v>10.75</v>
      </c>
      <c r="J46" s="0" t="n">
        <v>0</v>
      </c>
      <c r="K46" s="0" t="n">
        <v>0</v>
      </c>
    </row>
    <row r="47" customFormat="false" ht="12.8" hidden="false" customHeight="false" outlineLevel="0" collapsed="false">
      <c r="E47" s="0" t="n">
        <v>44</v>
      </c>
      <c r="F47" s="0" t="n">
        <v>0</v>
      </c>
      <c r="G47" s="0" t="n">
        <v>0</v>
      </c>
      <c r="I47" s="0" t="n">
        <v>11</v>
      </c>
      <c r="J47" s="0" t="n">
        <v>0</v>
      </c>
      <c r="K47" s="0" t="n">
        <v>0</v>
      </c>
    </row>
    <row r="48" customFormat="false" ht="12.8" hidden="false" customHeight="false" outlineLevel="0" collapsed="false">
      <c r="E48" s="0" t="n">
        <v>45</v>
      </c>
      <c r="F48" s="0" t="n">
        <v>0</v>
      </c>
      <c r="G48" s="0" t="n">
        <v>0</v>
      </c>
      <c r="I48" s="0" t="n">
        <v>11.25</v>
      </c>
      <c r="J48" s="0" t="n">
        <v>0</v>
      </c>
      <c r="K48" s="0" t="n">
        <v>0</v>
      </c>
    </row>
    <row r="49" customFormat="false" ht="12.8" hidden="false" customHeight="false" outlineLevel="0" collapsed="false">
      <c r="E49" s="0" t="n">
        <v>46</v>
      </c>
      <c r="F49" s="0" t="n">
        <v>0</v>
      </c>
      <c r="G49" s="0" t="n">
        <v>0</v>
      </c>
      <c r="I49" s="0" t="n">
        <v>11.5</v>
      </c>
      <c r="J49" s="0" t="n">
        <v>0</v>
      </c>
      <c r="K49" s="0" t="n">
        <v>0</v>
      </c>
    </row>
    <row r="50" customFormat="false" ht="12.8" hidden="false" customHeight="false" outlineLevel="0" collapsed="false">
      <c r="E50" s="0" t="n">
        <v>47</v>
      </c>
      <c r="F50" s="0" t="n">
        <v>0</v>
      </c>
      <c r="G50" s="0" t="n">
        <v>0</v>
      </c>
      <c r="I50" s="0" t="n">
        <v>11.75</v>
      </c>
      <c r="J50" s="0" t="n">
        <v>0</v>
      </c>
      <c r="K50" s="0" t="n">
        <v>0</v>
      </c>
    </row>
    <row r="51" customFormat="false" ht="12.8" hidden="false" customHeight="false" outlineLevel="0" collapsed="false">
      <c r="E51" s="0" t="n">
        <v>48</v>
      </c>
      <c r="F51" s="0" t="n">
        <v>0</v>
      </c>
      <c r="G51" s="0" t="n">
        <v>0</v>
      </c>
      <c r="I51" s="0" t="n">
        <v>12</v>
      </c>
      <c r="J51" s="0" t="n">
        <v>0</v>
      </c>
      <c r="K51" s="0" t="n">
        <v>0</v>
      </c>
    </row>
    <row r="52" customFormat="false" ht="12.8" hidden="false" customHeight="false" outlineLevel="0" collapsed="false">
      <c r="E52" s="0" t="n">
        <v>49</v>
      </c>
      <c r="F52" s="0" t="n">
        <v>0</v>
      </c>
      <c r="G52" s="0" t="n">
        <v>0</v>
      </c>
      <c r="I52" s="0" t="n">
        <v>12.25</v>
      </c>
      <c r="J52" s="0" t="n">
        <v>0</v>
      </c>
      <c r="K52" s="0" t="n">
        <v>0</v>
      </c>
    </row>
    <row r="53" customFormat="false" ht="12.8" hidden="false" customHeight="false" outlineLevel="0" collapsed="false">
      <c r="E53" s="0" t="n">
        <v>50</v>
      </c>
      <c r="F53" s="0" t="n">
        <v>0</v>
      </c>
      <c r="G53" s="0" t="n">
        <v>0</v>
      </c>
      <c r="I53" s="0" t="n">
        <v>12.5</v>
      </c>
      <c r="J53" s="0" t="n">
        <v>0</v>
      </c>
      <c r="K53" s="0" t="n">
        <v>0</v>
      </c>
    </row>
    <row r="54" customFormat="false" ht="12.8" hidden="false" customHeight="false" outlineLevel="0" collapsed="false">
      <c r="E54" s="0" t="n">
        <v>51</v>
      </c>
      <c r="F54" s="0" t="n">
        <v>0</v>
      </c>
      <c r="G54" s="0" t="n">
        <v>0</v>
      </c>
      <c r="I54" s="0" t="n">
        <v>12.75</v>
      </c>
      <c r="J54" s="0" t="n">
        <v>0</v>
      </c>
      <c r="K54" s="0" t="n">
        <v>0</v>
      </c>
    </row>
    <row r="55" customFormat="false" ht="12.8" hidden="false" customHeight="false" outlineLevel="0" collapsed="false">
      <c r="E55" s="0" t="n">
        <v>52</v>
      </c>
      <c r="F55" s="0" t="n">
        <v>0</v>
      </c>
      <c r="G55" s="0" t="n">
        <v>0</v>
      </c>
      <c r="I55" s="0" t="n">
        <v>13</v>
      </c>
      <c r="J55" s="0" t="n">
        <v>0</v>
      </c>
      <c r="K55" s="0" t="n">
        <v>0</v>
      </c>
    </row>
    <row r="56" customFormat="false" ht="12.8" hidden="false" customHeight="false" outlineLevel="0" collapsed="false">
      <c r="E56" s="0" t="n">
        <v>53</v>
      </c>
      <c r="F56" s="0" t="n">
        <v>0</v>
      </c>
      <c r="G56" s="0" t="n">
        <v>0</v>
      </c>
      <c r="I56" s="0" t="n">
        <v>13.25</v>
      </c>
      <c r="J56" s="0" t="n">
        <v>0</v>
      </c>
      <c r="K56" s="0" t="n">
        <v>0</v>
      </c>
    </row>
    <row r="57" customFormat="false" ht="12.8" hidden="false" customHeight="false" outlineLevel="0" collapsed="false">
      <c r="E57" s="0" t="n">
        <v>54</v>
      </c>
      <c r="F57" s="0" t="n">
        <v>0</v>
      </c>
      <c r="G57" s="0" t="n">
        <v>0</v>
      </c>
      <c r="I57" s="0" t="n">
        <v>13.5</v>
      </c>
      <c r="J57" s="0" t="n">
        <v>0</v>
      </c>
      <c r="K57" s="0" t="n">
        <v>0</v>
      </c>
    </row>
    <row r="58" customFormat="false" ht="12.8" hidden="false" customHeight="false" outlineLevel="0" collapsed="false">
      <c r="E58" s="0" t="n">
        <v>55</v>
      </c>
      <c r="F58" s="0" t="n">
        <v>0</v>
      </c>
      <c r="G58" s="0" t="n">
        <v>0</v>
      </c>
      <c r="I58" s="0" t="n">
        <v>13.75</v>
      </c>
      <c r="J58" s="0" t="n">
        <v>0</v>
      </c>
      <c r="K58" s="0" t="n">
        <v>0</v>
      </c>
    </row>
    <row r="59" customFormat="false" ht="12.8" hidden="false" customHeight="false" outlineLevel="0" collapsed="false">
      <c r="E59" s="0" t="n">
        <v>56</v>
      </c>
      <c r="F59" s="0" t="n">
        <v>0</v>
      </c>
      <c r="G59" s="0" t="n">
        <v>0</v>
      </c>
      <c r="I59" s="0" t="n">
        <v>14</v>
      </c>
      <c r="J59" s="0" t="n">
        <v>0</v>
      </c>
      <c r="K59" s="0" t="n">
        <v>0</v>
      </c>
    </row>
    <row r="60" customFormat="false" ht="12.8" hidden="false" customHeight="false" outlineLevel="0" collapsed="false">
      <c r="E60" s="0" t="n">
        <v>57</v>
      </c>
      <c r="F60" s="0" t="n">
        <v>0</v>
      </c>
      <c r="G60" s="0" t="n">
        <v>0</v>
      </c>
      <c r="I60" s="0" t="n">
        <v>14.25</v>
      </c>
      <c r="J60" s="0" t="n">
        <v>0</v>
      </c>
      <c r="K60" s="0" t="n">
        <v>0</v>
      </c>
    </row>
    <row r="61" customFormat="false" ht="12.8" hidden="false" customHeight="false" outlineLevel="0" collapsed="false">
      <c r="E61" s="0" t="n">
        <v>58</v>
      </c>
      <c r="F61" s="0" t="n">
        <v>0</v>
      </c>
      <c r="G61" s="0" t="n">
        <v>0</v>
      </c>
      <c r="I61" s="0" t="n">
        <v>14.5</v>
      </c>
      <c r="J61" s="0" t="n">
        <v>0</v>
      </c>
      <c r="K61" s="0" t="n">
        <v>0</v>
      </c>
    </row>
    <row r="62" customFormat="false" ht="12.8" hidden="false" customHeight="false" outlineLevel="0" collapsed="false">
      <c r="E62" s="0" t="n">
        <v>59</v>
      </c>
      <c r="F62" s="0" t="n">
        <v>0</v>
      </c>
      <c r="G62" s="0" t="n">
        <v>0</v>
      </c>
      <c r="I62" s="0" t="n">
        <v>14.75</v>
      </c>
      <c r="J62" s="0" t="n">
        <v>0</v>
      </c>
      <c r="K62" s="0" t="n">
        <v>0</v>
      </c>
    </row>
    <row r="63" customFormat="false" ht="12.8" hidden="false" customHeight="false" outlineLevel="0" collapsed="false">
      <c r="E63" s="0" t="n">
        <v>60</v>
      </c>
      <c r="F63" s="0" t="n">
        <v>0</v>
      </c>
      <c r="G63" s="0" t="n">
        <v>0</v>
      </c>
      <c r="I63" s="0" t="n">
        <v>15</v>
      </c>
      <c r="J63" s="0" t="n">
        <v>0</v>
      </c>
      <c r="K63" s="0" t="n">
        <v>0</v>
      </c>
    </row>
    <row r="64" customFormat="false" ht="12.8" hidden="false" customHeight="false" outlineLevel="0" collapsed="false">
      <c r="E64" s="0" t="n">
        <v>61</v>
      </c>
      <c r="F64" s="0" t="n">
        <v>0</v>
      </c>
      <c r="G64" s="0" t="n">
        <v>0</v>
      </c>
      <c r="I64" s="0" t="n">
        <v>15.25</v>
      </c>
      <c r="J64" s="0" t="n">
        <v>0</v>
      </c>
      <c r="K64" s="0" t="n">
        <v>0</v>
      </c>
    </row>
    <row r="65" customFormat="false" ht="12.8" hidden="false" customHeight="false" outlineLevel="0" collapsed="false">
      <c r="E65" s="0" t="n">
        <v>62</v>
      </c>
      <c r="F65" s="0" t="n">
        <v>0</v>
      </c>
      <c r="G65" s="0" t="n">
        <v>0</v>
      </c>
      <c r="I65" s="0" t="n">
        <v>15.5</v>
      </c>
      <c r="J65" s="0" t="n">
        <v>0</v>
      </c>
      <c r="K65" s="0" t="n">
        <v>0</v>
      </c>
    </row>
    <row r="66" customFormat="false" ht="12.8" hidden="false" customHeight="false" outlineLevel="0" collapsed="false">
      <c r="E66" s="0" t="n">
        <v>63</v>
      </c>
      <c r="F66" s="0" t="n">
        <v>0</v>
      </c>
      <c r="G66" s="0" t="n">
        <v>0</v>
      </c>
      <c r="I66" s="0" t="n">
        <v>15.75</v>
      </c>
      <c r="J66" s="0" t="n">
        <v>0</v>
      </c>
      <c r="K66" s="0" t="n">
        <v>0</v>
      </c>
    </row>
    <row r="67" customFormat="false" ht="12.8" hidden="false" customHeight="false" outlineLevel="0" collapsed="false">
      <c r="E67" s="0" t="n">
        <v>64</v>
      </c>
      <c r="F67" s="0" t="n">
        <v>0</v>
      </c>
      <c r="G67" s="0" t="n">
        <v>0</v>
      </c>
      <c r="I67" s="0" t="n">
        <v>16</v>
      </c>
      <c r="J67" s="0" t="n">
        <v>0</v>
      </c>
      <c r="K67" s="0" t="n">
        <v>0</v>
      </c>
    </row>
    <row r="68" customFormat="false" ht="12.8" hidden="false" customHeight="false" outlineLevel="0" collapsed="false">
      <c r="E68" s="0" t="n">
        <v>65</v>
      </c>
      <c r="F68" s="0" t="n">
        <v>0</v>
      </c>
      <c r="G68" s="0" t="n">
        <v>0</v>
      </c>
      <c r="I68" s="0" t="n">
        <v>16.25</v>
      </c>
      <c r="J68" s="0" t="n">
        <v>0</v>
      </c>
      <c r="K68" s="0" t="n">
        <v>0</v>
      </c>
    </row>
    <row r="69" customFormat="false" ht="12.8" hidden="false" customHeight="false" outlineLevel="0" collapsed="false">
      <c r="E69" s="0" t="n">
        <v>66</v>
      </c>
      <c r="F69" s="0" t="n">
        <v>0</v>
      </c>
      <c r="G69" s="0" t="n">
        <v>0</v>
      </c>
      <c r="I69" s="0" t="n">
        <v>16.5</v>
      </c>
      <c r="J69" s="0" t="n">
        <v>0</v>
      </c>
      <c r="K69" s="0" t="n">
        <v>0</v>
      </c>
    </row>
    <row r="70" customFormat="false" ht="12.8" hidden="false" customHeight="false" outlineLevel="0" collapsed="false">
      <c r="E70" s="0" t="n">
        <v>67</v>
      </c>
      <c r="F70" s="0" t="n">
        <v>0</v>
      </c>
      <c r="G70" s="0" t="n">
        <v>0</v>
      </c>
      <c r="I70" s="0" t="n">
        <v>16.75</v>
      </c>
      <c r="J70" s="0" t="n">
        <v>0</v>
      </c>
      <c r="K70" s="0" t="n">
        <v>0</v>
      </c>
    </row>
    <row r="71" customFormat="false" ht="12.8" hidden="false" customHeight="false" outlineLevel="0" collapsed="false">
      <c r="E71" s="0" t="n">
        <v>68</v>
      </c>
      <c r="F71" s="0" t="n">
        <v>0</v>
      </c>
      <c r="G71" s="0" t="n">
        <v>0</v>
      </c>
      <c r="I71" s="0" t="n">
        <v>17</v>
      </c>
      <c r="J71" s="0" t="n">
        <v>0</v>
      </c>
      <c r="K71" s="0" t="n">
        <v>0</v>
      </c>
    </row>
    <row r="72" customFormat="false" ht="12.8" hidden="false" customHeight="false" outlineLevel="0" collapsed="false">
      <c r="E72" s="0" t="n">
        <v>69</v>
      </c>
      <c r="F72" s="0" t="n">
        <v>0</v>
      </c>
      <c r="G72" s="0" t="n">
        <v>0</v>
      </c>
      <c r="I72" s="0" t="n">
        <v>17.25</v>
      </c>
      <c r="J72" s="0" t="n">
        <v>0</v>
      </c>
      <c r="K72" s="0" t="n">
        <v>0</v>
      </c>
    </row>
    <row r="73" customFormat="false" ht="12.8" hidden="false" customHeight="false" outlineLevel="0" collapsed="false">
      <c r="E73" s="0" t="n">
        <v>70</v>
      </c>
      <c r="F73" s="0" t="n">
        <v>0.4</v>
      </c>
      <c r="G73" s="0" t="n">
        <v>0.4</v>
      </c>
      <c r="I73" s="0" t="n">
        <v>17.5</v>
      </c>
      <c r="J73" s="0" t="n">
        <v>0</v>
      </c>
      <c r="K73" s="0" t="n">
        <v>0</v>
      </c>
    </row>
    <row r="74" customFormat="false" ht="12.8" hidden="false" customHeight="false" outlineLevel="0" collapsed="false">
      <c r="E74" s="0" t="n">
        <v>71</v>
      </c>
      <c r="F74" s="0" t="n">
        <v>0.9</v>
      </c>
      <c r="G74" s="0" t="n">
        <v>0.5</v>
      </c>
      <c r="I74" s="0" t="n">
        <v>17.75</v>
      </c>
      <c r="J74" s="0" t="n">
        <v>0</v>
      </c>
      <c r="K74" s="0" t="n">
        <v>0</v>
      </c>
    </row>
    <row r="75" customFormat="false" ht="12.8" hidden="false" customHeight="false" outlineLevel="0" collapsed="false">
      <c r="E75" s="0" t="n">
        <v>72</v>
      </c>
      <c r="F75" s="0" t="n">
        <v>1.1</v>
      </c>
      <c r="G75" s="0" t="n">
        <v>0.2</v>
      </c>
      <c r="I75" s="0" t="n">
        <v>18</v>
      </c>
      <c r="J75" s="0" t="n">
        <v>0</v>
      </c>
      <c r="K75" s="0" t="n">
        <v>0</v>
      </c>
    </row>
    <row r="76" customFormat="false" ht="12.8" hidden="false" customHeight="false" outlineLevel="0" collapsed="false">
      <c r="E76" s="0" t="n">
        <v>73</v>
      </c>
      <c r="F76" s="0" t="n">
        <v>1.1</v>
      </c>
      <c r="G76" s="0" t="n">
        <v>0.1</v>
      </c>
      <c r="I76" s="0" t="n">
        <v>18.25</v>
      </c>
      <c r="J76" s="0" t="n">
        <v>0</v>
      </c>
      <c r="K76" s="0" t="n">
        <v>0</v>
      </c>
    </row>
    <row r="77" customFormat="false" ht="12.8" hidden="false" customHeight="false" outlineLevel="0" collapsed="false">
      <c r="E77" s="0" t="n">
        <v>74</v>
      </c>
      <c r="F77" s="0" t="n">
        <v>1.2</v>
      </c>
      <c r="G77" s="0" t="n">
        <v>0.1</v>
      </c>
      <c r="I77" s="0" t="n">
        <v>18.5</v>
      </c>
      <c r="J77" s="0" t="n">
        <v>0</v>
      </c>
      <c r="K77" s="0" t="n">
        <v>0</v>
      </c>
    </row>
    <row r="78" customFormat="false" ht="12.8" hidden="false" customHeight="false" outlineLevel="0" collapsed="false">
      <c r="E78" s="0" t="n">
        <v>75</v>
      </c>
      <c r="F78" s="0" t="n">
        <v>1.2</v>
      </c>
      <c r="G78" s="0" t="n">
        <v>0.1</v>
      </c>
      <c r="I78" s="0" t="n">
        <v>18.75</v>
      </c>
      <c r="J78" s="0" t="n">
        <v>0</v>
      </c>
      <c r="K78" s="0" t="n">
        <v>0</v>
      </c>
    </row>
    <row r="79" customFormat="false" ht="12.8" hidden="false" customHeight="false" outlineLevel="0" collapsed="false">
      <c r="E79" s="0" t="n">
        <v>76</v>
      </c>
      <c r="F79" s="0" t="n">
        <v>1.3</v>
      </c>
      <c r="G79" s="0" t="n">
        <v>0.1</v>
      </c>
      <c r="I79" s="0" t="n">
        <v>19</v>
      </c>
      <c r="J79" s="0" t="n">
        <v>0</v>
      </c>
      <c r="K79" s="0" t="n">
        <v>0</v>
      </c>
    </row>
    <row r="80" customFormat="false" ht="12.8" hidden="false" customHeight="false" outlineLevel="0" collapsed="false">
      <c r="E80" s="0" t="n">
        <v>77</v>
      </c>
      <c r="F80" s="0" t="n">
        <v>1.3</v>
      </c>
      <c r="G80" s="0" t="n">
        <v>0.1</v>
      </c>
      <c r="I80" s="0" t="n">
        <v>19.25</v>
      </c>
      <c r="J80" s="0" t="n">
        <v>0</v>
      </c>
      <c r="K80" s="0" t="n">
        <v>0</v>
      </c>
    </row>
    <row r="81" customFormat="false" ht="12.8" hidden="false" customHeight="false" outlineLevel="0" collapsed="false">
      <c r="E81" s="0" t="n">
        <v>78</v>
      </c>
      <c r="F81" s="0" t="n">
        <v>1.4</v>
      </c>
      <c r="G81" s="0" t="n">
        <v>0.1</v>
      </c>
      <c r="I81" s="0" t="n">
        <v>19.5</v>
      </c>
      <c r="J81" s="0" t="n">
        <v>0</v>
      </c>
      <c r="K81" s="0" t="n">
        <v>0</v>
      </c>
    </row>
    <row r="82" customFormat="false" ht="12.8" hidden="false" customHeight="false" outlineLevel="0" collapsed="false">
      <c r="E82" s="0" t="n">
        <v>79</v>
      </c>
      <c r="F82" s="0" t="n">
        <v>1.4</v>
      </c>
      <c r="G82" s="0" t="n">
        <v>0.1</v>
      </c>
      <c r="I82" s="0" t="n">
        <v>19.75</v>
      </c>
      <c r="J82" s="0" t="n">
        <v>0</v>
      </c>
      <c r="K82" s="0" t="n">
        <v>0</v>
      </c>
    </row>
    <row r="83" customFormat="false" ht="12.8" hidden="false" customHeight="false" outlineLevel="0" collapsed="false">
      <c r="E83" s="0" t="n">
        <v>80</v>
      </c>
      <c r="F83" s="0" t="n">
        <v>1.5</v>
      </c>
      <c r="G83" s="0" t="n">
        <v>0.1</v>
      </c>
      <c r="I83" s="0" t="n">
        <v>20</v>
      </c>
      <c r="J83" s="0" t="n">
        <v>0</v>
      </c>
      <c r="K83" s="0" t="n">
        <v>0</v>
      </c>
    </row>
    <row r="84" customFormat="false" ht="12.8" hidden="false" customHeight="false" outlineLevel="0" collapsed="false">
      <c r="E84" s="0" t="n">
        <v>81</v>
      </c>
      <c r="F84" s="0" t="n">
        <v>1.5</v>
      </c>
      <c r="G84" s="0" t="n">
        <v>0.1</v>
      </c>
      <c r="I84" s="0" t="n">
        <v>20.25</v>
      </c>
      <c r="J84" s="0" t="n">
        <v>0</v>
      </c>
      <c r="K84" s="0" t="n">
        <v>0</v>
      </c>
    </row>
    <row r="85" customFormat="false" ht="12.8" hidden="false" customHeight="false" outlineLevel="0" collapsed="false">
      <c r="E85" s="0" t="n">
        <v>82</v>
      </c>
      <c r="F85" s="0" t="n">
        <v>1.6</v>
      </c>
      <c r="G85" s="0" t="n">
        <v>0.1</v>
      </c>
      <c r="I85" s="0" t="n">
        <v>20.5</v>
      </c>
      <c r="J85" s="0" t="n">
        <v>0</v>
      </c>
      <c r="K85" s="0" t="n">
        <v>0</v>
      </c>
    </row>
    <row r="86" customFormat="false" ht="12.8" hidden="false" customHeight="false" outlineLevel="0" collapsed="false">
      <c r="E86" s="0" t="n">
        <v>83</v>
      </c>
      <c r="F86" s="0" t="n">
        <v>1.6</v>
      </c>
      <c r="G86" s="0" t="n">
        <v>0.1</v>
      </c>
      <c r="I86" s="0" t="n">
        <v>20.75</v>
      </c>
      <c r="J86" s="0" t="n">
        <v>0</v>
      </c>
      <c r="K86" s="0" t="n">
        <v>0</v>
      </c>
    </row>
    <row r="87" customFormat="false" ht="12.8" hidden="false" customHeight="false" outlineLevel="0" collapsed="false">
      <c r="E87" s="0" t="n">
        <v>84</v>
      </c>
      <c r="F87" s="0" t="n">
        <v>1.7</v>
      </c>
      <c r="G87" s="0" t="n">
        <v>0.1</v>
      </c>
      <c r="I87" s="0" t="n">
        <v>21</v>
      </c>
      <c r="J87" s="0" t="n">
        <v>0</v>
      </c>
      <c r="K87" s="0" t="n">
        <v>0</v>
      </c>
    </row>
    <row r="88" customFormat="false" ht="12.8" hidden="false" customHeight="false" outlineLevel="0" collapsed="false">
      <c r="E88" s="0" t="n">
        <v>85</v>
      </c>
      <c r="F88" s="0" t="n">
        <v>1.7</v>
      </c>
      <c r="G88" s="0" t="n">
        <v>0.1</v>
      </c>
      <c r="I88" s="0" t="n">
        <v>21.25</v>
      </c>
      <c r="J88" s="0" t="n">
        <v>0</v>
      </c>
      <c r="K88" s="0" t="n">
        <v>0</v>
      </c>
    </row>
    <row r="89" customFormat="false" ht="12.8" hidden="false" customHeight="false" outlineLevel="0" collapsed="false">
      <c r="E89" s="0" t="n">
        <v>86</v>
      </c>
      <c r="F89" s="0" t="n">
        <v>1.8</v>
      </c>
      <c r="G89" s="0" t="n">
        <v>0.1</v>
      </c>
      <c r="I89" s="0" t="n">
        <v>21.5</v>
      </c>
      <c r="J89" s="0" t="n">
        <v>0</v>
      </c>
      <c r="K89" s="0" t="n">
        <v>0</v>
      </c>
    </row>
    <row r="90" customFormat="false" ht="12.8" hidden="false" customHeight="false" outlineLevel="0" collapsed="false">
      <c r="E90" s="0" t="n">
        <v>87</v>
      </c>
      <c r="F90" s="0" t="n">
        <v>1.8</v>
      </c>
      <c r="G90" s="0" t="n">
        <v>0.1</v>
      </c>
      <c r="I90" s="0" t="n">
        <v>21.75</v>
      </c>
      <c r="J90" s="0" t="n">
        <v>0</v>
      </c>
      <c r="K90" s="0" t="n">
        <v>0</v>
      </c>
    </row>
    <row r="91" customFormat="false" ht="12.8" hidden="false" customHeight="false" outlineLevel="0" collapsed="false">
      <c r="E91" s="0" t="n">
        <v>88</v>
      </c>
      <c r="F91" s="0" t="n">
        <v>1.9</v>
      </c>
      <c r="G91" s="0" t="n">
        <v>0.1</v>
      </c>
      <c r="I91" s="0" t="n">
        <v>22</v>
      </c>
      <c r="J91" s="0" t="n">
        <v>0</v>
      </c>
      <c r="K91" s="0" t="n">
        <v>0</v>
      </c>
    </row>
    <row r="92" customFormat="false" ht="12.8" hidden="false" customHeight="false" outlineLevel="0" collapsed="false">
      <c r="E92" s="0" t="n">
        <v>89</v>
      </c>
      <c r="F92" s="0" t="n">
        <v>1.9</v>
      </c>
      <c r="G92" s="0" t="n">
        <v>0.1</v>
      </c>
      <c r="I92" s="0" t="n">
        <v>22.25</v>
      </c>
      <c r="J92" s="0" t="n">
        <v>0</v>
      </c>
      <c r="K92" s="0" t="n">
        <v>0</v>
      </c>
    </row>
    <row r="93" customFormat="false" ht="12.8" hidden="false" customHeight="false" outlineLevel="0" collapsed="false">
      <c r="E93" s="0" t="n">
        <v>90</v>
      </c>
      <c r="F93" s="0" t="n">
        <v>2</v>
      </c>
      <c r="G93" s="0" t="n">
        <v>0.1</v>
      </c>
      <c r="I93" s="0" t="n">
        <v>22.5</v>
      </c>
      <c r="J93" s="0" t="n">
        <v>0</v>
      </c>
      <c r="K93" s="0" t="n">
        <v>0</v>
      </c>
    </row>
    <row r="94" customFormat="false" ht="12.8" hidden="false" customHeight="false" outlineLevel="0" collapsed="false">
      <c r="E94" s="0" t="n">
        <v>91</v>
      </c>
      <c r="F94" s="0" t="n">
        <v>2</v>
      </c>
      <c r="G94" s="0" t="n">
        <v>0.1</v>
      </c>
      <c r="I94" s="0" t="n">
        <v>22.75</v>
      </c>
      <c r="J94" s="0" t="n">
        <v>0</v>
      </c>
      <c r="K94" s="0" t="n">
        <v>0</v>
      </c>
    </row>
    <row r="95" customFormat="false" ht="12.8" hidden="false" customHeight="false" outlineLevel="0" collapsed="false">
      <c r="E95" s="0" t="n">
        <v>92</v>
      </c>
      <c r="F95" s="0" t="n">
        <v>2.5</v>
      </c>
      <c r="G95" s="0" t="n">
        <v>0.5</v>
      </c>
      <c r="I95" s="0" t="n">
        <v>23</v>
      </c>
      <c r="J95" s="0" t="n">
        <v>0</v>
      </c>
      <c r="K95" s="0" t="n">
        <v>0</v>
      </c>
    </row>
    <row r="96" customFormat="false" ht="12.8" hidden="false" customHeight="false" outlineLevel="0" collapsed="false">
      <c r="E96" s="0" t="n">
        <v>93</v>
      </c>
      <c r="F96" s="0" t="n">
        <v>3.1</v>
      </c>
      <c r="G96" s="0" t="n">
        <v>0.6</v>
      </c>
      <c r="I96" s="0" t="n">
        <v>23.25</v>
      </c>
      <c r="J96" s="0" t="n">
        <v>0</v>
      </c>
      <c r="K96" s="0" t="n">
        <v>0</v>
      </c>
    </row>
    <row r="97" customFormat="false" ht="12.8" hidden="false" customHeight="false" outlineLevel="0" collapsed="false">
      <c r="E97" s="0" t="n">
        <v>94</v>
      </c>
      <c r="F97" s="0" t="n">
        <v>5.6</v>
      </c>
      <c r="G97" s="0" t="n">
        <v>2.5</v>
      </c>
      <c r="I97" s="0" t="n">
        <v>23.5</v>
      </c>
      <c r="J97" s="0" t="n">
        <v>0</v>
      </c>
      <c r="K97" s="0" t="n">
        <v>0</v>
      </c>
    </row>
    <row r="98" customFormat="false" ht="12.8" hidden="false" customHeight="false" outlineLevel="0" collapsed="false">
      <c r="E98" s="0" t="n">
        <v>95</v>
      </c>
      <c r="F98" s="0" t="n">
        <v>6.7</v>
      </c>
      <c r="G98" s="0" t="n">
        <v>1.1</v>
      </c>
      <c r="I98" s="0" t="n">
        <v>23.75</v>
      </c>
      <c r="J98" s="0" t="n">
        <v>0</v>
      </c>
      <c r="K98" s="0" t="n">
        <v>0</v>
      </c>
    </row>
    <row r="99" customFormat="false" ht="12.8" hidden="false" customHeight="false" outlineLevel="0" collapsed="false">
      <c r="E99" s="0" t="n">
        <v>96</v>
      </c>
      <c r="F99" s="0" t="n">
        <v>9.1</v>
      </c>
      <c r="G99" s="0" t="n">
        <v>2.4</v>
      </c>
      <c r="I99" s="0" t="n">
        <v>24</v>
      </c>
      <c r="J99" s="0" t="n">
        <v>0</v>
      </c>
      <c r="K99" s="0" t="n">
        <v>0</v>
      </c>
    </row>
    <row r="100" customFormat="false" ht="12.8" hidden="false" customHeight="false" outlineLevel="0" collapsed="false">
      <c r="E100" s="0" t="n">
        <v>97</v>
      </c>
      <c r="F100" s="0" t="n">
        <v>9.2</v>
      </c>
      <c r="G100" s="0" t="n">
        <v>0.1</v>
      </c>
      <c r="I100" s="0" t="n">
        <v>24.25</v>
      </c>
      <c r="J100" s="0" t="n">
        <v>0</v>
      </c>
      <c r="K100" s="0" t="n">
        <v>0</v>
      </c>
    </row>
    <row r="101" customFormat="false" ht="12.8" hidden="false" customHeight="false" outlineLevel="0" collapsed="false">
      <c r="E101" s="0" t="n">
        <v>98</v>
      </c>
      <c r="F101" s="0" t="n">
        <v>9.3</v>
      </c>
      <c r="G101" s="0" t="n">
        <v>0.1</v>
      </c>
      <c r="I101" s="0" t="n">
        <v>24.5</v>
      </c>
      <c r="J101" s="0" t="n">
        <v>0</v>
      </c>
      <c r="K101" s="0" t="n">
        <v>0</v>
      </c>
    </row>
    <row r="102" customFormat="false" ht="12.8" hidden="false" customHeight="false" outlineLevel="0" collapsed="false">
      <c r="E102" s="0" t="n">
        <v>99</v>
      </c>
      <c r="F102" s="0" t="n">
        <v>9.4</v>
      </c>
      <c r="G102" s="0" t="n">
        <v>0.1</v>
      </c>
      <c r="I102" s="0" t="n">
        <v>24.75</v>
      </c>
      <c r="J102" s="0" t="n">
        <v>0</v>
      </c>
      <c r="K102" s="0" t="n">
        <v>0</v>
      </c>
    </row>
    <row r="103" customFormat="false" ht="12.8" hidden="false" customHeight="false" outlineLevel="0" collapsed="false">
      <c r="E103" s="0" t="n">
        <v>100</v>
      </c>
      <c r="F103" s="0" t="n">
        <v>9.5</v>
      </c>
      <c r="G103" s="0" t="n">
        <v>0.1</v>
      </c>
      <c r="I103" s="0" t="n">
        <v>25</v>
      </c>
      <c r="J103" s="0" t="n">
        <v>0</v>
      </c>
      <c r="K103" s="0" t="n">
        <v>0</v>
      </c>
    </row>
    <row r="104" customFormat="false" ht="12.8" hidden="false" customHeight="false" outlineLevel="0" collapsed="false">
      <c r="E104" s="0" t="n">
        <v>101</v>
      </c>
      <c r="F104" s="0" t="n">
        <v>9.6</v>
      </c>
      <c r="G104" s="0" t="n">
        <v>0.1</v>
      </c>
      <c r="I104" s="0" t="n">
        <v>25.25</v>
      </c>
      <c r="J104" s="0" t="n">
        <v>0</v>
      </c>
      <c r="K104" s="0" t="n">
        <v>0</v>
      </c>
    </row>
    <row r="105" customFormat="false" ht="12.8" hidden="false" customHeight="false" outlineLevel="0" collapsed="false">
      <c r="E105" s="0" t="n">
        <v>102</v>
      </c>
      <c r="F105" s="0" t="n">
        <v>9.7</v>
      </c>
      <c r="G105" s="0" t="n">
        <v>0.1</v>
      </c>
      <c r="I105" s="0" t="n">
        <v>25.5</v>
      </c>
      <c r="J105" s="0" t="n">
        <v>0</v>
      </c>
      <c r="K105" s="0" t="n">
        <v>0</v>
      </c>
    </row>
    <row r="106" customFormat="false" ht="12.8" hidden="false" customHeight="false" outlineLevel="0" collapsed="false">
      <c r="E106" s="0" t="n">
        <v>103</v>
      </c>
      <c r="F106" s="0" t="n">
        <v>9.8</v>
      </c>
      <c r="G106" s="0" t="n">
        <v>0.1</v>
      </c>
      <c r="I106" s="0" t="n">
        <v>25.75</v>
      </c>
      <c r="J106" s="0" t="n">
        <v>0</v>
      </c>
      <c r="K106" s="0" t="n">
        <v>0</v>
      </c>
    </row>
    <row r="107" customFormat="false" ht="12.8" hidden="false" customHeight="false" outlineLevel="0" collapsed="false">
      <c r="E107" s="0" t="n">
        <v>104</v>
      </c>
      <c r="F107" s="0" t="n">
        <v>9.9</v>
      </c>
      <c r="G107" s="0" t="n">
        <v>0.1</v>
      </c>
      <c r="I107" s="0" t="n">
        <v>26</v>
      </c>
      <c r="J107" s="0" t="n">
        <v>0</v>
      </c>
      <c r="K107" s="0" t="n">
        <v>0</v>
      </c>
    </row>
    <row r="108" customFormat="false" ht="12.8" hidden="false" customHeight="false" outlineLevel="0" collapsed="false">
      <c r="E108" s="0" t="n">
        <v>105</v>
      </c>
      <c r="F108" s="0" t="n">
        <v>10</v>
      </c>
      <c r="G108" s="0" t="n">
        <v>0.1</v>
      </c>
      <c r="I108" s="0" t="n">
        <v>26.25</v>
      </c>
      <c r="J108" s="0" t="n">
        <v>0</v>
      </c>
      <c r="K108" s="0" t="n">
        <v>0</v>
      </c>
    </row>
    <row r="109" customFormat="false" ht="12.8" hidden="false" customHeight="false" outlineLevel="0" collapsed="false">
      <c r="E109" s="0" t="n">
        <v>106</v>
      </c>
      <c r="F109" s="0" t="n">
        <v>10.1</v>
      </c>
      <c r="G109" s="0" t="n">
        <v>0.1</v>
      </c>
      <c r="I109" s="0" t="n">
        <v>26.5</v>
      </c>
      <c r="J109" s="0" t="n">
        <v>0</v>
      </c>
      <c r="K109" s="0" t="n">
        <v>0</v>
      </c>
    </row>
    <row r="110" customFormat="false" ht="12.8" hidden="false" customHeight="false" outlineLevel="0" collapsed="false">
      <c r="E110" s="0" t="n">
        <v>107</v>
      </c>
      <c r="F110" s="0" t="n">
        <v>10.2</v>
      </c>
      <c r="G110" s="0" t="n">
        <v>0.1</v>
      </c>
      <c r="I110" s="0" t="n">
        <v>26.75</v>
      </c>
      <c r="J110" s="0" t="n">
        <v>0</v>
      </c>
      <c r="K110" s="0" t="n">
        <v>0</v>
      </c>
    </row>
    <row r="111" customFormat="false" ht="12.8" hidden="false" customHeight="false" outlineLevel="0" collapsed="false">
      <c r="E111" s="0" t="n">
        <v>108</v>
      </c>
      <c r="F111" s="0" t="n">
        <v>10.3</v>
      </c>
      <c r="G111" s="0" t="n">
        <v>0.1</v>
      </c>
      <c r="I111" s="0" t="n">
        <v>27</v>
      </c>
      <c r="J111" s="0" t="n">
        <v>0</v>
      </c>
      <c r="K111" s="0" t="n">
        <v>0</v>
      </c>
    </row>
    <row r="112" customFormat="false" ht="12.8" hidden="false" customHeight="false" outlineLevel="0" collapsed="false">
      <c r="E112" s="0" t="n">
        <v>109</v>
      </c>
      <c r="F112" s="0" t="n">
        <v>10.4</v>
      </c>
      <c r="G112" s="0" t="n">
        <v>0.1</v>
      </c>
      <c r="I112" s="0" t="n">
        <v>27.25</v>
      </c>
      <c r="J112" s="0" t="n">
        <v>0</v>
      </c>
      <c r="K112" s="0" t="n">
        <v>0</v>
      </c>
    </row>
    <row r="113" customFormat="false" ht="12.8" hidden="false" customHeight="false" outlineLevel="0" collapsed="false">
      <c r="E113" s="0" t="n">
        <v>110</v>
      </c>
      <c r="F113" s="0" t="n">
        <v>10.5</v>
      </c>
      <c r="G113" s="0" t="n">
        <v>0.1</v>
      </c>
      <c r="I113" s="0" t="n">
        <v>27.5</v>
      </c>
      <c r="J113" s="0" t="n">
        <v>0</v>
      </c>
      <c r="K113" s="0" t="n">
        <v>0</v>
      </c>
    </row>
    <row r="114" customFormat="false" ht="12.8" hidden="false" customHeight="false" outlineLevel="0" collapsed="false">
      <c r="E114" s="0" t="n">
        <v>111</v>
      </c>
      <c r="F114" s="0" t="n">
        <v>10.6</v>
      </c>
      <c r="G114" s="0" t="n">
        <v>0.1</v>
      </c>
      <c r="I114" s="0" t="n">
        <v>27.75</v>
      </c>
      <c r="J114" s="0" t="n">
        <v>0</v>
      </c>
      <c r="K114" s="0" t="n">
        <v>0</v>
      </c>
    </row>
    <row r="115" customFormat="false" ht="12.8" hidden="false" customHeight="false" outlineLevel="0" collapsed="false">
      <c r="E115" s="0" t="n">
        <v>112</v>
      </c>
      <c r="F115" s="0" t="n">
        <v>10.7</v>
      </c>
      <c r="G115" s="0" t="n">
        <v>0.1</v>
      </c>
      <c r="I115" s="0" t="n">
        <v>28</v>
      </c>
      <c r="J115" s="0" t="n">
        <v>0</v>
      </c>
      <c r="K115" s="0" t="n">
        <v>0</v>
      </c>
    </row>
    <row r="116" customFormat="false" ht="12.8" hidden="false" customHeight="false" outlineLevel="0" collapsed="false">
      <c r="E116" s="0" t="n">
        <v>113</v>
      </c>
      <c r="F116" s="0" t="n">
        <v>10.8</v>
      </c>
      <c r="G116" s="0" t="n">
        <v>0.1</v>
      </c>
      <c r="I116" s="0" t="n">
        <v>28.25</v>
      </c>
      <c r="J116" s="0" t="n">
        <v>0</v>
      </c>
      <c r="K116" s="0" t="n">
        <v>0</v>
      </c>
    </row>
    <row r="117" customFormat="false" ht="12.8" hidden="false" customHeight="false" outlineLevel="0" collapsed="false">
      <c r="E117" s="0" t="n">
        <v>114</v>
      </c>
      <c r="F117" s="0" t="n">
        <v>10.9</v>
      </c>
      <c r="G117" s="0" t="n">
        <v>0.1</v>
      </c>
      <c r="I117" s="0" t="n">
        <v>28.5</v>
      </c>
      <c r="J117" s="0" t="n">
        <v>0</v>
      </c>
      <c r="K117" s="0" t="n">
        <v>0</v>
      </c>
    </row>
    <row r="118" customFormat="false" ht="12.8" hidden="false" customHeight="false" outlineLevel="0" collapsed="false">
      <c r="E118" s="0" t="n">
        <v>115</v>
      </c>
      <c r="F118" s="0" t="n">
        <v>11</v>
      </c>
      <c r="G118" s="0" t="n">
        <v>0.1</v>
      </c>
      <c r="I118" s="0" t="n">
        <v>28.75</v>
      </c>
      <c r="J118" s="0" t="n">
        <v>0</v>
      </c>
      <c r="K118" s="0" t="n">
        <v>0</v>
      </c>
    </row>
    <row r="119" customFormat="false" ht="12.8" hidden="false" customHeight="false" outlineLevel="0" collapsed="false">
      <c r="E119" s="0" t="n">
        <v>116</v>
      </c>
      <c r="F119" s="0" t="n">
        <v>11.1</v>
      </c>
      <c r="G119" s="0" t="n">
        <v>0.1</v>
      </c>
      <c r="I119" s="0" t="n">
        <v>29</v>
      </c>
      <c r="J119" s="0" t="n">
        <v>0</v>
      </c>
      <c r="K119" s="0" t="n">
        <v>0</v>
      </c>
    </row>
    <row r="120" customFormat="false" ht="12.8" hidden="false" customHeight="false" outlineLevel="0" collapsed="false">
      <c r="E120" s="0" t="n">
        <v>117</v>
      </c>
      <c r="F120" s="0" t="n">
        <v>11.2</v>
      </c>
      <c r="G120" s="0" t="n">
        <v>0.1</v>
      </c>
      <c r="I120" s="0" t="n">
        <v>29.25</v>
      </c>
      <c r="J120" s="0" t="n">
        <v>0</v>
      </c>
      <c r="K120" s="0" t="n">
        <v>0</v>
      </c>
    </row>
    <row r="121" customFormat="false" ht="12.8" hidden="false" customHeight="false" outlineLevel="0" collapsed="false">
      <c r="E121" s="0" t="n">
        <v>118</v>
      </c>
      <c r="F121" s="0" t="n">
        <v>11.3</v>
      </c>
      <c r="G121" s="0" t="n">
        <v>0.1</v>
      </c>
      <c r="I121" s="0" t="n">
        <v>29.5</v>
      </c>
      <c r="J121" s="0" t="n">
        <v>0</v>
      </c>
      <c r="K121" s="0" t="n">
        <v>0</v>
      </c>
    </row>
    <row r="122" customFormat="false" ht="12.8" hidden="false" customHeight="false" outlineLevel="0" collapsed="false">
      <c r="E122" s="0" t="n">
        <v>119</v>
      </c>
      <c r="F122" s="0" t="n">
        <v>11.5</v>
      </c>
      <c r="G122" s="0" t="n">
        <v>0.2</v>
      </c>
      <c r="I122" s="0" t="n">
        <v>29.75</v>
      </c>
      <c r="J122" s="0" t="n">
        <v>0</v>
      </c>
      <c r="K122" s="0" t="n">
        <v>0</v>
      </c>
    </row>
    <row r="123" customFormat="false" ht="12.8" hidden="false" customHeight="false" outlineLevel="0" collapsed="false">
      <c r="E123" s="0" t="n">
        <v>120</v>
      </c>
      <c r="F123" s="0" t="n">
        <v>13.4</v>
      </c>
      <c r="G123" s="0" t="n">
        <v>2</v>
      </c>
      <c r="I123" s="0" t="n">
        <v>30</v>
      </c>
      <c r="J123" s="0" t="n">
        <v>0</v>
      </c>
      <c r="K123" s="0" t="n">
        <v>0</v>
      </c>
    </row>
    <row r="124" customFormat="false" ht="12.8" hidden="false" customHeight="false" outlineLevel="0" collapsed="false">
      <c r="E124" s="0" t="n">
        <v>121</v>
      </c>
      <c r="F124" s="0" t="n">
        <v>15.3</v>
      </c>
      <c r="G124" s="0" t="n">
        <v>1.9</v>
      </c>
      <c r="I124" s="0" t="n">
        <v>30.25</v>
      </c>
      <c r="J124" s="0" t="n">
        <v>0</v>
      </c>
      <c r="K124" s="0" t="n">
        <v>0</v>
      </c>
    </row>
    <row r="125" customFormat="false" ht="12.8" hidden="false" customHeight="false" outlineLevel="0" collapsed="false">
      <c r="E125" s="0" t="n">
        <v>122</v>
      </c>
      <c r="F125" s="0" t="n">
        <v>16.9</v>
      </c>
      <c r="G125" s="0" t="n">
        <v>1.6</v>
      </c>
      <c r="I125" s="0" t="n">
        <v>30.5</v>
      </c>
      <c r="J125" s="0" t="n">
        <v>0</v>
      </c>
      <c r="K125" s="0" t="n">
        <v>0</v>
      </c>
    </row>
    <row r="126" customFormat="false" ht="12.8" hidden="false" customHeight="false" outlineLevel="0" collapsed="false">
      <c r="E126" s="0" t="n">
        <v>123</v>
      </c>
      <c r="F126" s="0" t="n">
        <v>17</v>
      </c>
      <c r="G126" s="0" t="n">
        <v>0.2</v>
      </c>
      <c r="I126" s="0" t="n">
        <v>30.75</v>
      </c>
      <c r="J126" s="0" t="n">
        <v>0</v>
      </c>
      <c r="K126" s="0" t="n">
        <v>0</v>
      </c>
    </row>
    <row r="127" customFormat="false" ht="12.8" hidden="false" customHeight="false" outlineLevel="0" collapsed="false">
      <c r="E127" s="0" t="n">
        <v>124</v>
      </c>
      <c r="F127" s="0" t="n">
        <v>17.2</v>
      </c>
      <c r="G127" s="0" t="n">
        <v>0.2</v>
      </c>
      <c r="I127" s="0" t="n">
        <v>31</v>
      </c>
      <c r="J127" s="0" t="n">
        <v>0</v>
      </c>
      <c r="K127" s="0" t="n">
        <v>0</v>
      </c>
    </row>
    <row r="128" customFormat="false" ht="12.8" hidden="false" customHeight="false" outlineLevel="0" collapsed="false">
      <c r="E128" s="0" t="n">
        <v>125</v>
      </c>
      <c r="F128" s="0" t="n">
        <v>17.3</v>
      </c>
      <c r="G128" s="0" t="n">
        <v>0.2</v>
      </c>
      <c r="I128" s="0" t="n">
        <v>31.25</v>
      </c>
      <c r="J128" s="0" t="n">
        <v>0</v>
      </c>
      <c r="K128" s="0" t="n">
        <v>0</v>
      </c>
    </row>
    <row r="129" customFormat="false" ht="12.8" hidden="false" customHeight="false" outlineLevel="0" collapsed="false">
      <c r="E129" s="0" t="n">
        <v>126</v>
      </c>
      <c r="F129" s="0" t="n">
        <v>17.5</v>
      </c>
      <c r="G129" s="0" t="n">
        <v>0.2</v>
      </c>
      <c r="I129" s="0" t="n">
        <v>31.5</v>
      </c>
      <c r="J129" s="0" t="n">
        <v>0</v>
      </c>
      <c r="K129" s="0" t="n">
        <v>0</v>
      </c>
    </row>
    <row r="130" customFormat="false" ht="12.8" hidden="false" customHeight="false" outlineLevel="0" collapsed="false">
      <c r="E130" s="0" t="n">
        <v>127</v>
      </c>
      <c r="F130" s="0" t="n">
        <v>17.7</v>
      </c>
      <c r="G130" s="0" t="n">
        <v>0.2</v>
      </c>
      <c r="I130" s="0" t="n">
        <v>31.75</v>
      </c>
      <c r="J130" s="0" t="n">
        <v>0</v>
      </c>
      <c r="K130" s="0" t="n">
        <v>0</v>
      </c>
    </row>
    <row r="131" customFormat="false" ht="12.8" hidden="false" customHeight="false" outlineLevel="0" collapsed="false">
      <c r="E131" s="0" t="n">
        <v>128</v>
      </c>
      <c r="F131" s="0" t="n">
        <v>17.8</v>
      </c>
      <c r="G131" s="0" t="n">
        <v>0.2</v>
      </c>
      <c r="I131" s="0" t="n">
        <v>32</v>
      </c>
      <c r="J131" s="0" t="n">
        <v>0</v>
      </c>
      <c r="K131" s="0" t="n">
        <v>0</v>
      </c>
    </row>
    <row r="132" customFormat="false" ht="12.8" hidden="false" customHeight="false" outlineLevel="0" collapsed="false">
      <c r="E132" s="0" t="n">
        <v>129</v>
      </c>
      <c r="F132" s="0" t="n">
        <v>18</v>
      </c>
      <c r="G132" s="0" t="n">
        <v>0.2</v>
      </c>
      <c r="I132" s="0" t="n">
        <v>32.25</v>
      </c>
      <c r="J132" s="0" t="n">
        <v>0</v>
      </c>
      <c r="K132" s="0" t="n">
        <v>0</v>
      </c>
    </row>
    <row r="133" customFormat="false" ht="12.8" hidden="false" customHeight="false" outlineLevel="0" collapsed="false">
      <c r="E133" s="0" t="n">
        <v>130</v>
      </c>
      <c r="F133" s="0" t="n">
        <v>18.1</v>
      </c>
      <c r="G133" s="0" t="n">
        <v>0.2</v>
      </c>
      <c r="I133" s="0" t="n">
        <v>32.5</v>
      </c>
      <c r="J133" s="0" t="n">
        <v>0</v>
      </c>
      <c r="K133" s="0" t="n">
        <v>0</v>
      </c>
    </row>
    <row r="134" customFormat="false" ht="12.8" hidden="false" customHeight="false" outlineLevel="0" collapsed="false">
      <c r="E134" s="0" t="n">
        <v>131</v>
      </c>
      <c r="F134" s="0" t="n">
        <v>18.3</v>
      </c>
      <c r="G134" s="0" t="n">
        <v>0.2</v>
      </c>
      <c r="I134" s="0" t="n">
        <v>32.75</v>
      </c>
      <c r="J134" s="0" t="n">
        <v>0</v>
      </c>
      <c r="K134" s="0" t="n">
        <v>0</v>
      </c>
    </row>
    <row r="135" customFormat="false" ht="12.8" hidden="false" customHeight="false" outlineLevel="0" collapsed="false">
      <c r="E135" s="0" t="n">
        <v>132</v>
      </c>
      <c r="F135" s="0" t="n">
        <v>18.4</v>
      </c>
      <c r="G135" s="0" t="n">
        <v>0.2</v>
      </c>
      <c r="I135" s="0" t="n">
        <v>33</v>
      </c>
      <c r="J135" s="0" t="n">
        <v>0</v>
      </c>
      <c r="K135" s="0" t="n">
        <v>0</v>
      </c>
    </row>
    <row r="136" customFormat="false" ht="12.8" hidden="false" customHeight="false" outlineLevel="0" collapsed="false">
      <c r="E136" s="0" t="n">
        <v>133</v>
      </c>
      <c r="F136" s="0" t="n">
        <v>18.6</v>
      </c>
      <c r="G136" s="0" t="n">
        <v>0.2</v>
      </c>
      <c r="I136" s="0" t="n">
        <v>33.25</v>
      </c>
      <c r="J136" s="0" t="n">
        <v>0</v>
      </c>
      <c r="K136" s="0" t="n">
        <v>0</v>
      </c>
    </row>
    <row r="137" customFormat="false" ht="12.8" hidden="false" customHeight="false" outlineLevel="0" collapsed="false">
      <c r="E137" s="0" t="n">
        <v>134</v>
      </c>
      <c r="F137" s="0" t="n">
        <v>18.8</v>
      </c>
      <c r="G137" s="0" t="n">
        <v>0.2</v>
      </c>
      <c r="I137" s="0" t="n">
        <v>33.5</v>
      </c>
      <c r="J137" s="0" t="n">
        <v>0</v>
      </c>
      <c r="K137" s="0" t="n">
        <v>0</v>
      </c>
    </row>
    <row r="138" customFormat="false" ht="12.8" hidden="false" customHeight="false" outlineLevel="0" collapsed="false">
      <c r="E138" s="0" t="n">
        <v>135</v>
      </c>
      <c r="F138" s="0" t="n">
        <v>18.9</v>
      </c>
      <c r="G138" s="0" t="n">
        <v>0.2</v>
      </c>
      <c r="I138" s="0" t="n">
        <v>33.75</v>
      </c>
      <c r="J138" s="0" t="n">
        <v>0</v>
      </c>
      <c r="K138" s="0" t="n">
        <v>0</v>
      </c>
    </row>
    <row r="139" customFormat="false" ht="12.8" hidden="false" customHeight="false" outlineLevel="0" collapsed="false">
      <c r="E139" s="0" t="n">
        <v>136</v>
      </c>
      <c r="F139" s="0" t="n">
        <v>19.1</v>
      </c>
      <c r="G139" s="0" t="n">
        <v>0.2</v>
      </c>
      <c r="I139" s="0" t="n">
        <v>34</v>
      </c>
      <c r="J139" s="0" t="n">
        <v>0</v>
      </c>
      <c r="K139" s="0" t="n">
        <v>0</v>
      </c>
    </row>
    <row r="140" customFormat="false" ht="12.8" hidden="false" customHeight="false" outlineLevel="0" collapsed="false">
      <c r="E140" s="0" t="n">
        <v>137</v>
      </c>
      <c r="F140" s="0" t="n">
        <v>19.2</v>
      </c>
      <c r="G140" s="0" t="n">
        <v>0.2</v>
      </c>
      <c r="I140" s="0" t="n">
        <v>34.25</v>
      </c>
      <c r="J140" s="0" t="n">
        <v>0</v>
      </c>
      <c r="K140" s="0" t="n">
        <v>0</v>
      </c>
    </row>
    <row r="141" customFormat="false" ht="12.8" hidden="false" customHeight="false" outlineLevel="0" collapsed="false">
      <c r="E141" s="0" t="n">
        <v>138</v>
      </c>
      <c r="F141" s="0" t="n">
        <v>19.4</v>
      </c>
      <c r="G141" s="0" t="n">
        <v>0.2</v>
      </c>
      <c r="I141" s="0" t="n">
        <v>34.5</v>
      </c>
      <c r="J141" s="0" t="n">
        <v>0</v>
      </c>
      <c r="K141" s="0" t="n">
        <v>0</v>
      </c>
    </row>
    <row r="142" customFormat="false" ht="12.8" hidden="false" customHeight="false" outlineLevel="0" collapsed="false">
      <c r="E142" s="0" t="n">
        <v>139</v>
      </c>
      <c r="F142" s="0" t="n">
        <v>19.5</v>
      </c>
      <c r="G142" s="0" t="n">
        <v>0.2</v>
      </c>
      <c r="I142" s="0" t="n">
        <v>34.75</v>
      </c>
      <c r="J142" s="0" t="n">
        <v>0</v>
      </c>
      <c r="K142" s="0" t="n">
        <v>0</v>
      </c>
    </row>
    <row r="143" customFormat="false" ht="12.8" hidden="false" customHeight="false" outlineLevel="0" collapsed="false">
      <c r="E143" s="0" t="n">
        <v>140</v>
      </c>
      <c r="F143" s="0" t="n">
        <v>19.7</v>
      </c>
      <c r="G143" s="0" t="n">
        <v>0.2</v>
      </c>
      <c r="I143" s="0" t="n">
        <v>35</v>
      </c>
      <c r="J143" s="0" t="n">
        <v>0</v>
      </c>
      <c r="K143" s="0" t="n">
        <v>0</v>
      </c>
    </row>
    <row r="144" customFormat="false" ht="12.8" hidden="false" customHeight="false" outlineLevel="0" collapsed="false">
      <c r="E144" s="0" t="n">
        <v>141</v>
      </c>
      <c r="F144" s="0" t="n">
        <v>19.8</v>
      </c>
      <c r="G144" s="0" t="n">
        <v>0.2</v>
      </c>
      <c r="I144" s="0" t="n">
        <v>35.25</v>
      </c>
      <c r="J144" s="0" t="n">
        <v>0</v>
      </c>
      <c r="K144" s="0" t="n">
        <v>0</v>
      </c>
    </row>
    <row r="145" customFormat="false" ht="12.8" hidden="false" customHeight="false" outlineLevel="0" collapsed="false">
      <c r="E145" s="0" t="n">
        <v>142</v>
      </c>
      <c r="F145" s="0" t="n">
        <v>24.7</v>
      </c>
      <c r="G145" s="0" t="n">
        <v>4.8</v>
      </c>
      <c r="I145" s="0" t="n">
        <v>35.5</v>
      </c>
      <c r="J145" s="0" t="n">
        <v>0</v>
      </c>
      <c r="K145" s="0" t="n">
        <v>0</v>
      </c>
    </row>
    <row r="146" customFormat="false" ht="12.8" hidden="false" customHeight="false" outlineLevel="0" collapsed="false">
      <c r="E146" s="0" t="n">
        <v>143</v>
      </c>
      <c r="F146" s="0" t="n">
        <v>27.2</v>
      </c>
      <c r="G146" s="0" t="n">
        <v>2.6</v>
      </c>
      <c r="I146" s="0" t="n">
        <v>35.75</v>
      </c>
      <c r="J146" s="0" t="n">
        <v>0</v>
      </c>
      <c r="K146" s="0" t="n">
        <v>0</v>
      </c>
    </row>
    <row r="147" customFormat="false" ht="12.8" hidden="false" customHeight="false" outlineLevel="0" collapsed="false">
      <c r="E147" s="0" t="n">
        <v>144</v>
      </c>
      <c r="F147" s="0" t="n">
        <v>29.8</v>
      </c>
      <c r="G147" s="0" t="n">
        <v>2.6</v>
      </c>
      <c r="I147" s="0" t="n">
        <v>36</v>
      </c>
      <c r="J147" s="0" t="n">
        <v>0</v>
      </c>
      <c r="K147" s="0" t="n">
        <v>0</v>
      </c>
    </row>
    <row r="148" customFormat="false" ht="12.8" hidden="false" customHeight="false" outlineLevel="0" collapsed="false">
      <c r="E148" s="0" t="n">
        <v>145</v>
      </c>
      <c r="F148" s="0" t="n">
        <v>32.8</v>
      </c>
      <c r="G148" s="0" t="n">
        <v>3</v>
      </c>
      <c r="I148" s="0" t="n">
        <v>36.25</v>
      </c>
      <c r="J148" s="0" t="n">
        <v>0</v>
      </c>
      <c r="K148" s="0" t="n">
        <v>0</v>
      </c>
    </row>
    <row r="149" customFormat="false" ht="12.8" hidden="false" customHeight="false" outlineLevel="0" collapsed="false">
      <c r="E149" s="0" t="n">
        <v>146</v>
      </c>
      <c r="F149" s="0" t="n">
        <v>34.3</v>
      </c>
      <c r="G149" s="0" t="n">
        <v>1.5</v>
      </c>
      <c r="I149" s="0" t="n">
        <v>36.5</v>
      </c>
      <c r="J149" s="0" t="n">
        <v>0</v>
      </c>
      <c r="K149" s="0" t="n">
        <v>0</v>
      </c>
    </row>
    <row r="150" customFormat="false" ht="12.8" hidden="false" customHeight="false" outlineLevel="0" collapsed="false">
      <c r="E150" s="0" t="n">
        <v>147</v>
      </c>
      <c r="F150" s="0" t="n">
        <v>34.5</v>
      </c>
      <c r="G150" s="0" t="n">
        <v>0.2</v>
      </c>
      <c r="I150" s="0" t="n">
        <v>36.75</v>
      </c>
      <c r="J150" s="0" t="n">
        <v>0</v>
      </c>
      <c r="K150" s="0" t="n">
        <v>0</v>
      </c>
    </row>
    <row r="151" customFormat="false" ht="12.8" hidden="false" customHeight="false" outlineLevel="0" collapsed="false">
      <c r="E151" s="0" t="n">
        <v>148</v>
      </c>
      <c r="F151" s="0" t="n">
        <v>34.7</v>
      </c>
      <c r="G151" s="0" t="n">
        <v>0.2</v>
      </c>
      <c r="I151" s="0" t="n">
        <v>37</v>
      </c>
      <c r="J151" s="0" t="n">
        <v>0</v>
      </c>
      <c r="K151" s="0" t="n">
        <v>0</v>
      </c>
    </row>
    <row r="152" customFormat="false" ht="12.8" hidden="false" customHeight="false" outlineLevel="0" collapsed="false">
      <c r="E152" s="0" t="n">
        <v>149</v>
      </c>
      <c r="F152" s="0" t="n">
        <v>34.9</v>
      </c>
      <c r="G152" s="0" t="n">
        <v>0.2</v>
      </c>
      <c r="I152" s="0" t="n">
        <v>37.25</v>
      </c>
      <c r="J152" s="0" t="n">
        <v>0</v>
      </c>
      <c r="K152" s="0" t="n">
        <v>0</v>
      </c>
    </row>
    <row r="153" customFormat="false" ht="12.8" hidden="false" customHeight="false" outlineLevel="0" collapsed="false">
      <c r="E153" s="0" t="n">
        <v>150</v>
      </c>
      <c r="F153" s="0" t="n">
        <v>35.1</v>
      </c>
      <c r="G153" s="0" t="n">
        <v>0.2</v>
      </c>
      <c r="I153" s="0" t="n">
        <v>37.5</v>
      </c>
      <c r="J153" s="0" t="n">
        <v>0</v>
      </c>
      <c r="K153" s="0" t="n">
        <v>0</v>
      </c>
    </row>
    <row r="154" customFormat="false" ht="12.8" hidden="false" customHeight="false" outlineLevel="0" collapsed="false">
      <c r="E154" s="0" t="n">
        <v>151</v>
      </c>
      <c r="F154" s="0" t="n">
        <v>35.3</v>
      </c>
      <c r="G154" s="0" t="n">
        <v>0.2</v>
      </c>
      <c r="I154" s="0" t="n">
        <v>37.75</v>
      </c>
      <c r="J154" s="0" t="n">
        <v>0</v>
      </c>
      <c r="K154" s="0" t="n">
        <v>0</v>
      </c>
    </row>
    <row r="155" customFormat="false" ht="12.8" hidden="false" customHeight="false" outlineLevel="0" collapsed="false">
      <c r="E155" s="0" t="n">
        <v>152</v>
      </c>
      <c r="F155" s="0" t="n">
        <v>35.6</v>
      </c>
      <c r="G155" s="0" t="n">
        <v>0.2</v>
      </c>
      <c r="I155" s="0" t="n">
        <v>38</v>
      </c>
      <c r="J155" s="0" t="n">
        <v>0</v>
      </c>
      <c r="K155" s="0" t="n">
        <v>0</v>
      </c>
    </row>
    <row r="156" customFormat="false" ht="12.8" hidden="false" customHeight="false" outlineLevel="0" collapsed="false">
      <c r="E156" s="0" t="n">
        <v>153</v>
      </c>
      <c r="F156" s="0" t="n">
        <v>35.8</v>
      </c>
      <c r="G156" s="0" t="n">
        <v>0.2</v>
      </c>
      <c r="I156" s="0" t="n">
        <v>38.25</v>
      </c>
      <c r="J156" s="0" t="n">
        <v>0</v>
      </c>
      <c r="K156" s="0" t="n">
        <v>0</v>
      </c>
    </row>
    <row r="157" customFormat="false" ht="12.8" hidden="false" customHeight="false" outlineLevel="0" collapsed="false">
      <c r="E157" s="0" t="n">
        <v>154</v>
      </c>
      <c r="F157" s="0" t="n">
        <v>36</v>
      </c>
      <c r="G157" s="0" t="n">
        <v>0.2</v>
      </c>
      <c r="I157" s="0" t="n">
        <v>38.5</v>
      </c>
      <c r="J157" s="0" t="n">
        <v>0</v>
      </c>
      <c r="K157" s="0" t="n">
        <v>0</v>
      </c>
    </row>
    <row r="158" customFormat="false" ht="12.8" hidden="false" customHeight="false" outlineLevel="0" collapsed="false">
      <c r="E158" s="0" t="n">
        <v>155</v>
      </c>
      <c r="F158" s="0" t="n">
        <v>36.2</v>
      </c>
      <c r="G158" s="0" t="n">
        <v>0.2</v>
      </c>
      <c r="I158" s="0" t="n">
        <v>38.75</v>
      </c>
      <c r="J158" s="0" t="n">
        <v>0</v>
      </c>
      <c r="K158" s="0" t="n">
        <v>0</v>
      </c>
    </row>
    <row r="159" customFormat="false" ht="12.8" hidden="false" customHeight="false" outlineLevel="0" collapsed="false">
      <c r="E159" s="0" t="n">
        <v>156</v>
      </c>
      <c r="F159" s="0" t="n">
        <v>36.4</v>
      </c>
      <c r="G159" s="0" t="n">
        <v>0.2</v>
      </c>
      <c r="I159" s="0" t="n">
        <v>39</v>
      </c>
      <c r="J159" s="0" t="n">
        <v>0</v>
      </c>
      <c r="K159" s="0" t="n">
        <v>0</v>
      </c>
    </row>
    <row r="160" customFormat="false" ht="12.8" hidden="false" customHeight="false" outlineLevel="0" collapsed="false">
      <c r="E160" s="0" t="n">
        <v>157</v>
      </c>
      <c r="F160" s="0" t="n">
        <v>36.6</v>
      </c>
      <c r="G160" s="0" t="n">
        <v>0.2</v>
      </c>
      <c r="I160" s="0" t="n">
        <v>39.25</v>
      </c>
      <c r="J160" s="0" t="n">
        <v>0</v>
      </c>
      <c r="K160" s="0" t="n">
        <v>0</v>
      </c>
    </row>
    <row r="161" customFormat="false" ht="12.8" hidden="false" customHeight="false" outlineLevel="0" collapsed="false">
      <c r="E161" s="0" t="n">
        <v>158</v>
      </c>
      <c r="F161" s="0" t="n">
        <v>36.8</v>
      </c>
      <c r="G161" s="0" t="n">
        <v>0.2</v>
      </c>
      <c r="I161" s="0" t="n">
        <v>39.5</v>
      </c>
      <c r="J161" s="0" t="n">
        <v>0</v>
      </c>
      <c r="K161" s="0" t="n">
        <v>0</v>
      </c>
    </row>
    <row r="162" customFormat="false" ht="12.8" hidden="false" customHeight="false" outlineLevel="0" collapsed="false">
      <c r="E162" s="0" t="n">
        <v>159</v>
      </c>
      <c r="F162" s="0" t="n">
        <v>37</v>
      </c>
      <c r="G162" s="0" t="n">
        <v>0.2</v>
      </c>
      <c r="I162" s="0" t="n">
        <v>39.75</v>
      </c>
      <c r="J162" s="0" t="n">
        <v>0</v>
      </c>
      <c r="K162" s="0" t="n">
        <v>0</v>
      </c>
    </row>
    <row r="163" customFormat="false" ht="12.8" hidden="false" customHeight="false" outlineLevel="0" collapsed="false">
      <c r="E163" s="0" t="n">
        <v>160</v>
      </c>
      <c r="F163" s="0" t="n">
        <v>37.2</v>
      </c>
      <c r="G163" s="0" t="n">
        <v>0.2</v>
      </c>
      <c r="I163" s="0" t="n">
        <v>40</v>
      </c>
      <c r="J163" s="0" t="n">
        <v>0</v>
      </c>
      <c r="K163" s="0" t="n">
        <v>0</v>
      </c>
    </row>
    <row r="164" customFormat="false" ht="12.8" hidden="false" customHeight="false" outlineLevel="0" collapsed="false">
      <c r="E164" s="0" t="n">
        <v>161</v>
      </c>
      <c r="F164" s="0" t="n">
        <v>37.4</v>
      </c>
      <c r="G164" s="0" t="n">
        <v>0.2</v>
      </c>
      <c r="I164" s="0" t="n">
        <v>40.25</v>
      </c>
      <c r="J164" s="0" t="n">
        <v>0</v>
      </c>
      <c r="K164" s="0" t="n">
        <v>0</v>
      </c>
    </row>
    <row r="165" customFormat="false" ht="12.8" hidden="false" customHeight="false" outlineLevel="0" collapsed="false">
      <c r="E165" s="0" t="n">
        <v>162</v>
      </c>
      <c r="F165" s="0" t="n">
        <v>37.6</v>
      </c>
      <c r="G165" s="0" t="n">
        <v>0.2</v>
      </c>
      <c r="I165" s="0" t="n">
        <v>40.5</v>
      </c>
      <c r="J165" s="0" t="n">
        <v>0</v>
      </c>
      <c r="K165" s="0" t="n">
        <v>0</v>
      </c>
    </row>
    <row r="166" customFormat="false" ht="12.8" hidden="false" customHeight="false" outlineLevel="0" collapsed="false">
      <c r="E166" s="0" t="n">
        <v>163</v>
      </c>
      <c r="F166" s="0" t="n">
        <v>37.8</v>
      </c>
      <c r="G166" s="0" t="n">
        <v>0.2</v>
      </c>
      <c r="I166" s="0" t="n">
        <v>40.75</v>
      </c>
      <c r="J166" s="0" t="n">
        <v>0</v>
      </c>
      <c r="K166" s="0" t="n">
        <v>0</v>
      </c>
    </row>
    <row r="167" customFormat="false" ht="12.8" hidden="false" customHeight="false" outlineLevel="0" collapsed="false">
      <c r="E167" s="0" t="n">
        <v>164</v>
      </c>
      <c r="F167" s="0" t="n">
        <v>38</v>
      </c>
      <c r="G167" s="0" t="n">
        <v>0.2</v>
      </c>
      <c r="I167" s="0" t="n">
        <v>41</v>
      </c>
      <c r="J167" s="0" t="n">
        <v>0</v>
      </c>
      <c r="K167" s="0" t="n">
        <v>0</v>
      </c>
    </row>
    <row r="168" customFormat="false" ht="12.8" hidden="false" customHeight="false" outlineLevel="0" collapsed="false">
      <c r="E168" s="0" t="n">
        <v>165</v>
      </c>
      <c r="F168" s="0" t="n">
        <v>38.9</v>
      </c>
      <c r="G168" s="0" t="n">
        <v>0.9</v>
      </c>
      <c r="I168" s="0" t="n">
        <v>41.25</v>
      </c>
      <c r="J168" s="0" t="n">
        <v>0</v>
      </c>
      <c r="K168" s="0" t="n">
        <v>0</v>
      </c>
    </row>
    <row r="169" customFormat="false" ht="12.8" hidden="false" customHeight="false" outlineLevel="0" collapsed="false">
      <c r="E169" s="0" t="n">
        <v>166</v>
      </c>
      <c r="F169" s="0" t="n">
        <v>49.5</v>
      </c>
      <c r="G169" s="0" t="n">
        <v>10.6</v>
      </c>
      <c r="I169" s="0" t="n">
        <v>41.5</v>
      </c>
      <c r="J169" s="0" t="n">
        <v>0</v>
      </c>
      <c r="K169" s="0" t="n">
        <v>0</v>
      </c>
    </row>
    <row r="170" customFormat="false" ht="12.8" hidden="false" customHeight="false" outlineLevel="0" collapsed="false">
      <c r="E170" s="0" t="n">
        <v>167</v>
      </c>
      <c r="F170" s="0" t="n">
        <v>53</v>
      </c>
      <c r="G170" s="0" t="n">
        <v>3.5</v>
      </c>
      <c r="I170" s="0" t="n">
        <v>41.75</v>
      </c>
      <c r="J170" s="0" t="n">
        <v>0</v>
      </c>
      <c r="K170" s="0" t="n">
        <v>0</v>
      </c>
    </row>
    <row r="171" customFormat="false" ht="12.8" hidden="false" customHeight="false" outlineLevel="0" collapsed="false">
      <c r="E171" s="0" t="n">
        <v>168</v>
      </c>
      <c r="F171" s="0" t="n">
        <v>55.8</v>
      </c>
      <c r="G171" s="0" t="n">
        <v>2.8</v>
      </c>
      <c r="I171" s="0" t="n">
        <v>42</v>
      </c>
      <c r="J171" s="0" t="n">
        <v>0</v>
      </c>
      <c r="K171" s="0" t="n">
        <v>0</v>
      </c>
    </row>
    <row r="172" customFormat="false" ht="12.8" hidden="false" customHeight="false" outlineLevel="0" collapsed="false">
      <c r="E172" s="0" t="n">
        <v>169</v>
      </c>
      <c r="F172" s="0" t="n">
        <v>56.2</v>
      </c>
      <c r="G172" s="0" t="n">
        <v>0.5</v>
      </c>
      <c r="I172" s="0" t="n">
        <v>42.25</v>
      </c>
      <c r="J172" s="0" t="n">
        <v>0</v>
      </c>
      <c r="K172" s="0" t="n">
        <v>0</v>
      </c>
    </row>
    <row r="173" customFormat="false" ht="12.8" hidden="false" customHeight="false" outlineLevel="0" collapsed="false">
      <c r="E173" s="0" t="n">
        <v>170</v>
      </c>
      <c r="F173" s="0" t="n">
        <v>56.6</v>
      </c>
      <c r="G173" s="0" t="n">
        <v>0.3</v>
      </c>
      <c r="I173" s="0" t="n">
        <v>42.5</v>
      </c>
      <c r="J173" s="0" t="n">
        <v>0</v>
      </c>
      <c r="K173" s="0" t="n">
        <v>0</v>
      </c>
    </row>
    <row r="174" customFormat="false" ht="12.8" hidden="false" customHeight="false" outlineLevel="0" collapsed="false">
      <c r="E174" s="0" t="n">
        <v>171</v>
      </c>
      <c r="F174" s="0" t="n">
        <v>56.9</v>
      </c>
      <c r="G174" s="0" t="n">
        <v>0.3</v>
      </c>
      <c r="I174" s="0" t="n">
        <v>42.75</v>
      </c>
      <c r="J174" s="0" t="n">
        <v>0</v>
      </c>
      <c r="K174" s="0" t="n">
        <v>0</v>
      </c>
    </row>
    <row r="175" customFormat="false" ht="12.8" hidden="false" customHeight="false" outlineLevel="0" collapsed="false">
      <c r="E175" s="0" t="n">
        <v>172</v>
      </c>
      <c r="F175" s="0" t="n">
        <v>57.2</v>
      </c>
      <c r="G175" s="0" t="n">
        <v>0.3</v>
      </c>
      <c r="I175" s="0" t="n">
        <v>43</v>
      </c>
      <c r="J175" s="0" t="n">
        <v>0</v>
      </c>
      <c r="K175" s="0" t="n">
        <v>0</v>
      </c>
    </row>
    <row r="176" customFormat="false" ht="12.8" hidden="false" customHeight="false" outlineLevel="0" collapsed="false">
      <c r="E176" s="0" t="n">
        <v>173</v>
      </c>
      <c r="F176" s="0" t="n">
        <v>57.5</v>
      </c>
      <c r="G176" s="0" t="n">
        <v>0.3</v>
      </c>
      <c r="I176" s="0" t="n">
        <v>43.25</v>
      </c>
      <c r="J176" s="0" t="n">
        <v>0</v>
      </c>
      <c r="K176" s="0" t="n">
        <v>0</v>
      </c>
    </row>
    <row r="177" customFormat="false" ht="12.8" hidden="false" customHeight="false" outlineLevel="0" collapsed="false">
      <c r="E177" s="0" t="n">
        <v>174</v>
      </c>
      <c r="F177" s="0" t="n">
        <v>57.9</v>
      </c>
      <c r="G177" s="0" t="n">
        <v>0.3</v>
      </c>
      <c r="I177" s="0" t="n">
        <v>43.5</v>
      </c>
      <c r="J177" s="0" t="n">
        <v>0</v>
      </c>
      <c r="K177" s="0" t="n">
        <v>0</v>
      </c>
    </row>
    <row r="178" customFormat="false" ht="12.8" hidden="false" customHeight="false" outlineLevel="0" collapsed="false">
      <c r="E178" s="0" t="n">
        <v>175</v>
      </c>
      <c r="F178" s="0" t="n">
        <v>58.2</v>
      </c>
      <c r="G178" s="0" t="n">
        <v>0.3</v>
      </c>
      <c r="I178" s="0" t="n">
        <v>43.75</v>
      </c>
      <c r="J178" s="0" t="n">
        <v>0</v>
      </c>
      <c r="K178" s="0" t="n">
        <v>0</v>
      </c>
    </row>
    <row r="179" customFormat="false" ht="12.8" hidden="false" customHeight="false" outlineLevel="0" collapsed="false">
      <c r="E179" s="0" t="n">
        <v>176</v>
      </c>
      <c r="F179" s="0" t="n">
        <v>58.5</v>
      </c>
      <c r="G179" s="0" t="n">
        <v>0.3</v>
      </c>
      <c r="I179" s="0" t="n">
        <v>44</v>
      </c>
      <c r="J179" s="0" t="n">
        <v>0</v>
      </c>
      <c r="K179" s="0" t="n">
        <v>0</v>
      </c>
    </row>
    <row r="180" customFormat="false" ht="12.8" hidden="false" customHeight="false" outlineLevel="0" collapsed="false">
      <c r="E180" s="0" t="n">
        <v>177</v>
      </c>
      <c r="F180" s="0" t="n">
        <v>58.9</v>
      </c>
      <c r="G180" s="0" t="n">
        <v>0.3</v>
      </c>
      <c r="I180" s="0" t="n">
        <v>44.25</v>
      </c>
      <c r="J180" s="0" t="n">
        <v>0</v>
      </c>
      <c r="K180" s="0" t="n">
        <v>0</v>
      </c>
    </row>
    <row r="181" customFormat="false" ht="12.8" hidden="false" customHeight="false" outlineLevel="0" collapsed="false">
      <c r="E181" s="0" t="n">
        <v>178</v>
      </c>
      <c r="F181" s="0" t="n">
        <v>59.2</v>
      </c>
      <c r="G181" s="0" t="n">
        <v>0.3</v>
      </c>
      <c r="I181" s="0" t="n">
        <v>44.5</v>
      </c>
      <c r="J181" s="0" t="n">
        <v>0</v>
      </c>
      <c r="K181" s="0" t="n">
        <v>0</v>
      </c>
    </row>
    <row r="182" customFormat="false" ht="12.8" hidden="false" customHeight="false" outlineLevel="0" collapsed="false">
      <c r="E182" s="0" t="n">
        <v>179</v>
      </c>
      <c r="F182" s="0" t="n">
        <v>59.5</v>
      </c>
      <c r="G182" s="0" t="n">
        <v>0.3</v>
      </c>
      <c r="I182" s="0" t="n">
        <v>44.75</v>
      </c>
      <c r="J182" s="0" t="n">
        <v>0</v>
      </c>
      <c r="K182" s="0" t="n">
        <v>0</v>
      </c>
    </row>
    <row r="183" customFormat="false" ht="12.8" hidden="false" customHeight="false" outlineLevel="0" collapsed="false">
      <c r="E183" s="0" t="n">
        <v>180</v>
      </c>
      <c r="F183" s="0" t="n">
        <v>59.9</v>
      </c>
      <c r="G183" s="0" t="n">
        <v>0.3</v>
      </c>
      <c r="I183" s="0" t="n">
        <v>45</v>
      </c>
      <c r="J183" s="0" t="n">
        <v>0</v>
      </c>
      <c r="K183" s="0" t="n">
        <v>0</v>
      </c>
    </row>
    <row r="184" customFormat="false" ht="12.8" hidden="false" customHeight="false" outlineLevel="0" collapsed="false">
      <c r="E184" s="0" t="n">
        <v>181</v>
      </c>
      <c r="F184" s="0" t="n">
        <v>60.2</v>
      </c>
      <c r="G184" s="0" t="n">
        <v>0.3</v>
      </c>
      <c r="I184" s="0" t="n">
        <v>45.25</v>
      </c>
      <c r="J184" s="0" t="n">
        <v>0</v>
      </c>
      <c r="K184" s="0" t="n">
        <v>0</v>
      </c>
    </row>
    <row r="185" customFormat="false" ht="12.8" hidden="false" customHeight="false" outlineLevel="0" collapsed="false">
      <c r="E185" s="0" t="n">
        <v>182</v>
      </c>
      <c r="F185" s="0" t="n">
        <v>60.5</v>
      </c>
      <c r="G185" s="0" t="n">
        <v>0.3</v>
      </c>
      <c r="I185" s="0" t="n">
        <v>45.5</v>
      </c>
      <c r="J185" s="0" t="n">
        <v>0</v>
      </c>
      <c r="K185" s="0" t="n">
        <v>0</v>
      </c>
    </row>
    <row r="186" customFormat="false" ht="12.8" hidden="false" customHeight="false" outlineLevel="0" collapsed="false">
      <c r="E186" s="0" t="n">
        <v>183</v>
      </c>
      <c r="F186" s="0" t="n">
        <v>61</v>
      </c>
      <c r="G186" s="0" t="n">
        <v>0.5</v>
      </c>
      <c r="I186" s="0" t="n">
        <v>45.75</v>
      </c>
      <c r="J186" s="0" t="n">
        <v>0</v>
      </c>
      <c r="K186" s="0" t="n">
        <v>0</v>
      </c>
    </row>
    <row r="187" customFormat="false" ht="12.8" hidden="false" customHeight="false" outlineLevel="0" collapsed="false">
      <c r="E187" s="0" t="n">
        <v>184</v>
      </c>
      <c r="F187" s="0" t="n">
        <v>61.7</v>
      </c>
      <c r="G187" s="0" t="n">
        <v>0.7</v>
      </c>
      <c r="I187" s="0" t="n">
        <v>46</v>
      </c>
      <c r="J187" s="0" t="n">
        <v>0</v>
      </c>
      <c r="K187" s="0" t="n">
        <v>0</v>
      </c>
    </row>
    <row r="188" customFormat="false" ht="12.8" hidden="false" customHeight="false" outlineLevel="0" collapsed="false">
      <c r="E188" s="0" t="n">
        <v>185</v>
      </c>
      <c r="F188" s="0" t="n">
        <v>62.4</v>
      </c>
      <c r="G188" s="0" t="n">
        <v>0.7</v>
      </c>
      <c r="I188" s="0" t="n">
        <v>46.25</v>
      </c>
      <c r="J188" s="0" t="n">
        <v>0</v>
      </c>
      <c r="K188" s="0" t="n">
        <v>0</v>
      </c>
    </row>
    <row r="189" customFormat="false" ht="12.8" hidden="false" customHeight="false" outlineLevel="0" collapsed="false">
      <c r="E189" s="0" t="n">
        <v>186</v>
      </c>
      <c r="F189" s="0" t="n">
        <v>63.2</v>
      </c>
      <c r="G189" s="0" t="n">
        <v>0.7</v>
      </c>
      <c r="I189" s="0" t="n">
        <v>46.5</v>
      </c>
      <c r="J189" s="0" t="n">
        <v>0</v>
      </c>
      <c r="K189" s="0" t="n">
        <v>0</v>
      </c>
    </row>
    <row r="190" customFormat="false" ht="12.8" hidden="false" customHeight="false" outlineLevel="0" collapsed="false">
      <c r="E190" s="0" t="n">
        <v>187</v>
      </c>
      <c r="F190" s="0" t="n">
        <v>63.9</v>
      </c>
      <c r="G190" s="0" t="n">
        <v>0.7</v>
      </c>
      <c r="I190" s="0" t="n">
        <v>46.75</v>
      </c>
      <c r="J190" s="0" t="n">
        <v>0</v>
      </c>
      <c r="K190" s="0" t="n">
        <v>0</v>
      </c>
    </row>
    <row r="191" customFormat="false" ht="12.8" hidden="false" customHeight="false" outlineLevel="0" collapsed="false">
      <c r="E191" s="0" t="n">
        <v>188</v>
      </c>
      <c r="F191" s="0" t="n">
        <v>64.6</v>
      </c>
      <c r="G191" s="0" t="n">
        <v>0.7</v>
      </c>
      <c r="I191" s="0" t="n">
        <v>47</v>
      </c>
      <c r="J191" s="0" t="n">
        <v>0</v>
      </c>
      <c r="K191" s="0" t="n">
        <v>0</v>
      </c>
    </row>
    <row r="192" customFormat="false" ht="12.8" hidden="false" customHeight="false" outlineLevel="0" collapsed="false">
      <c r="E192" s="0" t="n">
        <v>189</v>
      </c>
      <c r="F192" s="0" t="n">
        <v>65.3</v>
      </c>
      <c r="G192" s="0" t="n">
        <v>0.7</v>
      </c>
      <c r="I192" s="0" t="n">
        <v>47.25</v>
      </c>
      <c r="J192" s="0" t="n">
        <v>0</v>
      </c>
      <c r="K192" s="0" t="n">
        <v>0</v>
      </c>
    </row>
    <row r="193" customFormat="false" ht="12.8" hidden="false" customHeight="false" outlineLevel="0" collapsed="false">
      <c r="E193" s="0" t="n">
        <v>190</v>
      </c>
      <c r="F193" s="0" t="n">
        <v>74.1</v>
      </c>
      <c r="G193" s="0" t="n">
        <v>8.9</v>
      </c>
      <c r="I193" s="0" t="n">
        <v>47.5</v>
      </c>
      <c r="J193" s="0" t="n">
        <v>0</v>
      </c>
      <c r="K193" s="0" t="n">
        <v>0</v>
      </c>
    </row>
    <row r="194" customFormat="false" ht="12.8" hidden="false" customHeight="false" outlineLevel="0" collapsed="false">
      <c r="E194" s="0" t="n">
        <v>191</v>
      </c>
      <c r="F194" s="0" t="n">
        <v>116.8</v>
      </c>
      <c r="G194" s="0" t="n">
        <v>42.7</v>
      </c>
      <c r="I194" s="0" t="n">
        <v>47.75</v>
      </c>
      <c r="J194" s="0" t="n">
        <v>0</v>
      </c>
      <c r="K194" s="0" t="n">
        <v>0</v>
      </c>
    </row>
    <row r="195" customFormat="false" ht="12.8" hidden="false" customHeight="false" outlineLevel="0" collapsed="false">
      <c r="E195" s="0" t="n">
        <v>192</v>
      </c>
      <c r="F195" s="0" t="n">
        <v>124.6</v>
      </c>
      <c r="G195" s="0" t="n">
        <v>7.8</v>
      </c>
      <c r="I195" s="0" t="n">
        <v>48</v>
      </c>
      <c r="J195" s="0" t="n">
        <v>0</v>
      </c>
      <c r="K195" s="0" t="n">
        <v>0</v>
      </c>
    </row>
    <row r="196" customFormat="false" ht="12.8" hidden="false" customHeight="false" outlineLevel="0" collapsed="false">
      <c r="E196" s="0" t="n">
        <v>193</v>
      </c>
      <c r="F196" s="0" t="n">
        <v>128.6</v>
      </c>
      <c r="G196" s="0" t="n">
        <v>4</v>
      </c>
      <c r="I196" s="0" t="n">
        <v>48.25</v>
      </c>
      <c r="J196" s="0" t="n">
        <v>0</v>
      </c>
      <c r="K196" s="0" t="n">
        <v>0</v>
      </c>
    </row>
    <row r="197" customFormat="false" ht="12.8" hidden="false" customHeight="false" outlineLevel="0" collapsed="false">
      <c r="E197" s="0" t="n">
        <v>194</v>
      </c>
      <c r="F197" s="0" t="n">
        <v>128.9</v>
      </c>
      <c r="G197" s="0" t="n">
        <v>0.3</v>
      </c>
      <c r="I197" s="0" t="n">
        <v>48.5</v>
      </c>
      <c r="J197" s="0" t="n">
        <v>0</v>
      </c>
      <c r="K197" s="0" t="n">
        <v>0</v>
      </c>
    </row>
    <row r="198" customFormat="false" ht="12.8" hidden="false" customHeight="false" outlineLevel="0" collapsed="false">
      <c r="E198" s="0" t="n">
        <v>195</v>
      </c>
      <c r="F198" s="0" t="n">
        <v>129.2</v>
      </c>
      <c r="G198" s="0" t="n">
        <v>0.3</v>
      </c>
      <c r="I198" s="0" t="n">
        <v>48.75</v>
      </c>
      <c r="J198" s="0" t="n">
        <v>0</v>
      </c>
      <c r="K198" s="0" t="n">
        <v>0</v>
      </c>
    </row>
    <row r="199" customFormat="false" ht="12.8" hidden="false" customHeight="false" outlineLevel="0" collapsed="false">
      <c r="E199" s="0" t="n">
        <v>196</v>
      </c>
      <c r="F199" s="0" t="n">
        <v>129.5</v>
      </c>
      <c r="G199" s="0" t="n">
        <v>0.3</v>
      </c>
      <c r="I199" s="0" t="n">
        <v>49</v>
      </c>
      <c r="J199" s="0" t="n">
        <v>0</v>
      </c>
      <c r="K199" s="0" t="n">
        <v>0</v>
      </c>
    </row>
    <row r="200" customFormat="false" ht="12.8" hidden="false" customHeight="false" outlineLevel="0" collapsed="false">
      <c r="E200" s="0" t="n">
        <v>197</v>
      </c>
      <c r="F200" s="0" t="n">
        <v>129.8</v>
      </c>
      <c r="G200" s="0" t="n">
        <v>0.3</v>
      </c>
      <c r="I200" s="0" t="n">
        <v>49.25</v>
      </c>
      <c r="J200" s="0" t="n">
        <v>0</v>
      </c>
      <c r="K200" s="0" t="n">
        <v>0</v>
      </c>
    </row>
    <row r="201" customFormat="false" ht="12.8" hidden="false" customHeight="false" outlineLevel="0" collapsed="false">
      <c r="E201" s="0" t="n">
        <v>198</v>
      </c>
      <c r="F201" s="0" t="n">
        <v>130.1</v>
      </c>
      <c r="G201" s="0" t="n">
        <v>0.3</v>
      </c>
      <c r="I201" s="0" t="n">
        <v>49.5</v>
      </c>
      <c r="J201" s="0" t="n">
        <v>0</v>
      </c>
      <c r="K201" s="0" t="n">
        <v>0</v>
      </c>
    </row>
    <row r="202" customFormat="false" ht="12.8" hidden="false" customHeight="false" outlineLevel="0" collapsed="false">
      <c r="E202" s="0" t="n">
        <v>199</v>
      </c>
      <c r="F202" s="0" t="n">
        <v>130.3</v>
      </c>
      <c r="G202" s="0" t="n">
        <v>0.3</v>
      </c>
      <c r="I202" s="0" t="n">
        <v>49.75</v>
      </c>
      <c r="J202" s="0" t="n">
        <v>0</v>
      </c>
      <c r="K202" s="0" t="n">
        <v>0</v>
      </c>
    </row>
    <row r="203" customFormat="false" ht="12.8" hidden="false" customHeight="false" outlineLevel="0" collapsed="false">
      <c r="E203" s="0" t="n">
        <v>200</v>
      </c>
      <c r="F203" s="0" t="n">
        <v>130.6</v>
      </c>
      <c r="G203" s="0" t="n">
        <v>0.3</v>
      </c>
      <c r="I203" s="0" t="n">
        <v>50</v>
      </c>
      <c r="J203" s="0" t="n">
        <v>0</v>
      </c>
      <c r="K203" s="0" t="n">
        <v>0</v>
      </c>
    </row>
    <row r="204" customFormat="false" ht="12.8" hidden="false" customHeight="false" outlineLevel="0" collapsed="false">
      <c r="E204" s="0" t="n">
        <v>201</v>
      </c>
      <c r="F204" s="0" t="n">
        <v>130.9</v>
      </c>
      <c r="G204" s="0" t="n">
        <v>0.3</v>
      </c>
      <c r="I204" s="0" t="n">
        <v>50.25</v>
      </c>
      <c r="J204" s="0" t="n">
        <v>0</v>
      </c>
      <c r="K204" s="0" t="n">
        <v>0</v>
      </c>
    </row>
    <row r="205" customFormat="false" ht="12.8" hidden="false" customHeight="false" outlineLevel="0" collapsed="false">
      <c r="E205" s="0" t="n">
        <v>202</v>
      </c>
      <c r="F205" s="0" t="n">
        <v>131.2</v>
      </c>
      <c r="G205" s="0" t="n">
        <v>0.3</v>
      </c>
      <c r="I205" s="0" t="n">
        <v>50.5</v>
      </c>
      <c r="J205" s="0" t="n">
        <v>0</v>
      </c>
      <c r="K205" s="0" t="n">
        <v>0</v>
      </c>
    </row>
    <row r="206" customFormat="false" ht="12.8" hidden="false" customHeight="false" outlineLevel="0" collapsed="false">
      <c r="E206" s="0" t="n">
        <v>203</v>
      </c>
      <c r="F206" s="0" t="n">
        <v>131.5</v>
      </c>
      <c r="G206" s="0" t="n">
        <v>0.3</v>
      </c>
      <c r="I206" s="0" t="n">
        <v>50.75</v>
      </c>
      <c r="J206" s="0" t="n">
        <v>0</v>
      </c>
      <c r="K206" s="0" t="n">
        <v>0</v>
      </c>
    </row>
    <row r="207" customFormat="false" ht="12.8" hidden="false" customHeight="false" outlineLevel="0" collapsed="false">
      <c r="E207" s="0" t="n">
        <v>204</v>
      </c>
      <c r="F207" s="0" t="n">
        <v>131.8</v>
      </c>
      <c r="G207" s="0" t="n">
        <v>0.3</v>
      </c>
      <c r="I207" s="0" t="n">
        <v>51</v>
      </c>
      <c r="J207" s="0" t="n">
        <v>0</v>
      </c>
      <c r="K207" s="0" t="n">
        <v>0</v>
      </c>
    </row>
    <row r="208" customFormat="false" ht="12.8" hidden="false" customHeight="false" outlineLevel="0" collapsed="false">
      <c r="E208" s="0" t="n">
        <v>205</v>
      </c>
      <c r="F208" s="0" t="n">
        <v>132</v>
      </c>
      <c r="G208" s="0" t="n">
        <v>0.3</v>
      </c>
      <c r="I208" s="0" t="n">
        <v>51.25</v>
      </c>
      <c r="J208" s="0" t="n">
        <v>0</v>
      </c>
      <c r="K208" s="0" t="n">
        <v>0</v>
      </c>
    </row>
    <row r="209" customFormat="false" ht="12.8" hidden="false" customHeight="false" outlineLevel="0" collapsed="false">
      <c r="E209" s="0" t="n">
        <v>206</v>
      </c>
      <c r="F209" s="0" t="n">
        <v>132.3</v>
      </c>
      <c r="G209" s="0" t="n">
        <v>0.3</v>
      </c>
      <c r="I209" s="0" t="n">
        <v>51.5</v>
      </c>
      <c r="J209" s="0" t="n">
        <v>0</v>
      </c>
      <c r="K209" s="0" t="n">
        <v>0</v>
      </c>
    </row>
    <row r="210" customFormat="false" ht="12.8" hidden="false" customHeight="false" outlineLevel="0" collapsed="false">
      <c r="E210" s="0" t="n">
        <v>207</v>
      </c>
      <c r="F210" s="0" t="n">
        <v>132.6</v>
      </c>
      <c r="G210" s="0" t="n">
        <v>0.3</v>
      </c>
      <c r="I210" s="0" t="n">
        <v>51.75</v>
      </c>
      <c r="J210" s="0" t="n">
        <v>0</v>
      </c>
      <c r="K210" s="0" t="n">
        <v>0</v>
      </c>
    </row>
    <row r="211" customFormat="false" ht="12.8" hidden="false" customHeight="false" outlineLevel="0" collapsed="false">
      <c r="E211" s="0" t="n">
        <v>208</v>
      </c>
      <c r="F211" s="0" t="n">
        <v>132.9</v>
      </c>
      <c r="G211" s="0" t="n">
        <v>0.3</v>
      </c>
      <c r="I211" s="0" t="n">
        <v>52</v>
      </c>
      <c r="J211" s="0" t="n">
        <v>0</v>
      </c>
      <c r="K211" s="0" t="n">
        <v>0</v>
      </c>
    </row>
    <row r="212" customFormat="false" ht="12.8" hidden="false" customHeight="false" outlineLevel="0" collapsed="false">
      <c r="E212" s="0" t="n">
        <v>209</v>
      </c>
      <c r="F212" s="0" t="n">
        <v>133.2</v>
      </c>
      <c r="G212" s="0" t="n">
        <v>0.3</v>
      </c>
      <c r="I212" s="0" t="n">
        <v>52.25</v>
      </c>
      <c r="J212" s="0" t="n">
        <v>0</v>
      </c>
      <c r="K212" s="0" t="n">
        <v>0</v>
      </c>
    </row>
    <row r="213" customFormat="false" ht="12.8" hidden="false" customHeight="false" outlineLevel="0" collapsed="false">
      <c r="E213" s="0" t="n">
        <v>210</v>
      </c>
      <c r="F213" s="0" t="n">
        <v>133.5</v>
      </c>
      <c r="G213" s="0" t="n">
        <v>0.3</v>
      </c>
      <c r="I213" s="0" t="n">
        <v>52.5</v>
      </c>
      <c r="J213" s="0" t="n">
        <v>0</v>
      </c>
      <c r="K213" s="0" t="n">
        <v>0</v>
      </c>
    </row>
    <row r="214" customFormat="false" ht="12.8" hidden="false" customHeight="false" outlineLevel="0" collapsed="false">
      <c r="E214" s="0" t="n">
        <v>211</v>
      </c>
      <c r="F214" s="0" t="n">
        <v>133.7</v>
      </c>
      <c r="G214" s="0" t="n">
        <v>0.3</v>
      </c>
      <c r="I214" s="0" t="n">
        <v>52.75</v>
      </c>
      <c r="J214" s="0" t="n">
        <v>0</v>
      </c>
      <c r="K214" s="0" t="n">
        <v>0</v>
      </c>
    </row>
    <row r="215" customFormat="false" ht="12.8" hidden="false" customHeight="false" outlineLevel="0" collapsed="false">
      <c r="E215" s="0" t="n">
        <v>212</v>
      </c>
      <c r="F215" s="0" t="n">
        <v>134</v>
      </c>
      <c r="G215" s="0" t="n">
        <v>0.3</v>
      </c>
      <c r="I215" s="0" t="n">
        <v>53</v>
      </c>
      <c r="J215" s="0" t="n">
        <v>0</v>
      </c>
      <c r="K215" s="0" t="n">
        <v>0</v>
      </c>
    </row>
    <row r="216" customFormat="false" ht="12.8" hidden="false" customHeight="false" outlineLevel="0" collapsed="false">
      <c r="E216" s="0" t="n">
        <v>213</v>
      </c>
      <c r="F216" s="0" t="n">
        <v>134.3</v>
      </c>
      <c r="G216" s="0" t="n">
        <v>0.3</v>
      </c>
      <c r="I216" s="0" t="n">
        <v>53.25</v>
      </c>
      <c r="J216" s="0" t="n">
        <v>0</v>
      </c>
      <c r="K216" s="0" t="n">
        <v>0</v>
      </c>
    </row>
    <row r="217" customFormat="false" ht="12.8" hidden="false" customHeight="false" outlineLevel="0" collapsed="false">
      <c r="E217" s="0" t="n">
        <v>214</v>
      </c>
      <c r="F217" s="0" t="n">
        <v>136.7</v>
      </c>
      <c r="G217" s="0" t="n">
        <v>2.4</v>
      </c>
      <c r="I217" s="0" t="n">
        <v>53.5</v>
      </c>
      <c r="J217" s="0" t="n">
        <v>0</v>
      </c>
      <c r="K217" s="0" t="n">
        <v>0</v>
      </c>
    </row>
    <row r="218" customFormat="false" ht="12.8" hidden="false" customHeight="false" outlineLevel="0" collapsed="false">
      <c r="E218" s="0" t="n">
        <v>215</v>
      </c>
      <c r="F218" s="0" t="n">
        <v>143.7</v>
      </c>
      <c r="G218" s="0" t="n">
        <v>7</v>
      </c>
      <c r="I218" s="0" t="n">
        <v>53.75</v>
      </c>
      <c r="J218" s="0" t="n">
        <v>0</v>
      </c>
      <c r="K218" s="0" t="n">
        <v>0</v>
      </c>
    </row>
    <row r="219" customFormat="false" ht="12.8" hidden="false" customHeight="false" outlineLevel="0" collapsed="false">
      <c r="E219" s="0" t="n">
        <v>216</v>
      </c>
      <c r="F219" s="0" t="n">
        <v>149.1</v>
      </c>
      <c r="G219" s="0" t="n">
        <v>5.4</v>
      </c>
      <c r="I219" s="0" t="n">
        <v>54</v>
      </c>
      <c r="J219" s="0" t="n">
        <v>0</v>
      </c>
      <c r="K219" s="0" t="n">
        <v>0</v>
      </c>
    </row>
    <row r="220" customFormat="false" ht="12.8" hidden="false" customHeight="false" outlineLevel="0" collapsed="false">
      <c r="E220" s="0" t="n">
        <v>217</v>
      </c>
      <c r="F220" s="0" t="n">
        <v>153.8</v>
      </c>
      <c r="G220" s="0" t="n">
        <v>4.8</v>
      </c>
      <c r="I220" s="0" t="n">
        <v>54.25</v>
      </c>
      <c r="J220" s="0" t="n">
        <v>0</v>
      </c>
      <c r="K220" s="0" t="n">
        <v>0</v>
      </c>
    </row>
    <row r="221" customFormat="false" ht="12.8" hidden="false" customHeight="false" outlineLevel="0" collapsed="false">
      <c r="E221" s="0" t="n">
        <v>218</v>
      </c>
      <c r="F221" s="0" t="n">
        <v>157.3</v>
      </c>
      <c r="G221" s="0" t="n">
        <v>3.5</v>
      </c>
      <c r="I221" s="0" t="n">
        <v>54.5</v>
      </c>
      <c r="J221" s="0" t="n">
        <v>0</v>
      </c>
      <c r="K221" s="0" t="n">
        <v>0</v>
      </c>
    </row>
    <row r="222" customFormat="false" ht="12.8" hidden="false" customHeight="false" outlineLevel="0" collapsed="false">
      <c r="E222" s="0" t="n">
        <v>219</v>
      </c>
      <c r="F222" s="0" t="n">
        <v>160.5</v>
      </c>
      <c r="G222" s="0" t="n">
        <v>3.1</v>
      </c>
      <c r="I222" s="0" t="n">
        <v>54.75</v>
      </c>
      <c r="J222" s="0" t="n">
        <v>0</v>
      </c>
      <c r="K222" s="0" t="n">
        <v>0</v>
      </c>
    </row>
    <row r="223" customFormat="false" ht="12.8" hidden="false" customHeight="false" outlineLevel="0" collapsed="false">
      <c r="E223" s="0" t="n">
        <v>220</v>
      </c>
      <c r="F223" s="0" t="n">
        <v>163.1</v>
      </c>
      <c r="G223" s="0" t="n">
        <v>2.7</v>
      </c>
      <c r="I223" s="0" t="n">
        <v>55</v>
      </c>
      <c r="J223" s="0" t="n">
        <v>0</v>
      </c>
      <c r="K223" s="0" t="n">
        <v>0</v>
      </c>
    </row>
    <row r="224" customFormat="false" ht="12.8" hidden="false" customHeight="false" outlineLevel="0" collapsed="false">
      <c r="E224" s="0" t="n">
        <v>221</v>
      </c>
      <c r="F224" s="0" t="n">
        <v>165.7</v>
      </c>
      <c r="G224" s="0" t="n">
        <v>2.6</v>
      </c>
      <c r="I224" s="0" t="n">
        <v>55.25</v>
      </c>
      <c r="J224" s="0" t="n">
        <v>0</v>
      </c>
      <c r="K224" s="0" t="n">
        <v>0</v>
      </c>
    </row>
    <row r="225" customFormat="false" ht="12.8" hidden="false" customHeight="false" outlineLevel="0" collapsed="false">
      <c r="E225" s="0" t="n">
        <v>222</v>
      </c>
      <c r="F225" s="0" t="n">
        <v>167.5</v>
      </c>
      <c r="G225" s="0" t="n">
        <v>1.8</v>
      </c>
      <c r="I225" s="0" t="n">
        <v>55.5</v>
      </c>
      <c r="J225" s="0" t="n">
        <v>0</v>
      </c>
      <c r="K225" s="0" t="n">
        <v>0</v>
      </c>
    </row>
    <row r="226" customFormat="false" ht="12.8" hidden="false" customHeight="false" outlineLevel="0" collapsed="false">
      <c r="E226" s="0" t="n">
        <v>223</v>
      </c>
      <c r="F226" s="0" t="n">
        <v>169.4</v>
      </c>
      <c r="G226" s="0" t="n">
        <v>1.8</v>
      </c>
      <c r="I226" s="0" t="n">
        <v>55.75</v>
      </c>
      <c r="J226" s="0" t="n">
        <v>0</v>
      </c>
      <c r="K226" s="0" t="n">
        <v>0</v>
      </c>
    </row>
    <row r="227" customFormat="false" ht="12.8" hidden="false" customHeight="false" outlineLevel="0" collapsed="false">
      <c r="E227" s="0" t="n">
        <v>224</v>
      </c>
      <c r="F227" s="0" t="n">
        <v>171.2</v>
      </c>
      <c r="G227" s="0" t="n">
        <v>1.8</v>
      </c>
      <c r="I227" s="0" t="n">
        <v>56</v>
      </c>
      <c r="J227" s="0" t="n">
        <v>0</v>
      </c>
      <c r="K227" s="0" t="n">
        <v>0</v>
      </c>
    </row>
    <row r="228" customFormat="false" ht="12.8" hidden="false" customHeight="false" outlineLevel="0" collapsed="false">
      <c r="E228" s="0" t="n">
        <v>225</v>
      </c>
      <c r="F228" s="0" t="n">
        <v>172.4</v>
      </c>
      <c r="G228" s="0" t="n">
        <v>1.2</v>
      </c>
      <c r="I228" s="0" t="n">
        <v>56.25</v>
      </c>
      <c r="J228" s="0" t="n">
        <v>0</v>
      </c>
      <c r="K228" s="0" t="n">
        <v>0</v>
      </c>
    </row>
    <row r="229" customFormat="false" ht="12.8" hidden="false" customHeight="false" outlineLevel="0" collapsed="false">
      <c r="E229" s="0" t="n">
        <v>226</v>
      </c>
      <c r="F229" s="0" t="n">
        <v>173.1</v>
      </c>
      <c r="G229" s="0" t="n">
        <v>0.7</v>
      </c>
      <c r="I229" s="0" t="n">
        <v>56.5</v>
      </c>
      <c r="J229" s="0" t="n">
        <v>0</v>
      </c>
      <c r="K229" s="0" t="n">
        <v>0</v>
      </c>
    </row>
    <row r="230" customFormat="false" ht="12.8" hidden="false" customHeight="false" outlineLevel="0" collapsed="false">
      <c r="E230" s="0" t="n">
        <v>227</v>
      </c>
      <c r="F230" s="0" t="n">
        <v>173.9</v>
      </c>
      <c r="G230" s="0" t="n">
        <v>0.7</v>
      </c>
      <c r="I230" s="0" t="n">
        <v>56.75</v>
      </c>
      <c r="J230" s="0" t="n">
        <v>0</v>
      </c>
      <c r="K230" s="0" t="n">
        <v>0</v>
      </c>
    </row>
    <row r="231" customFormat="false" ht="12.8" hidden="false" customHeight="false" outlineLevel="0" collapsed="false">
      <c r="E231" s="0" t="n">
        <v>228</v>
      </c>
      <c r="F231" s="0" t="n">
        <v>174.6</v>
      </c>
      <c r="G231" s="0" t="n">
        <v>0.7</v>
      </c>
      <c r="I231" s="0" t="n">
        <v>57</v>
      </c>
      <c r="J231" s="0" t="n">
        <v>0</v>
      </c>
      <c r="K231" s="0" t="n">
        <v>0</v>
      </c>
    </row>
    <row r="232" customFormat="false" ht="12.8" hidden="false" customHeight="false" outlineLevel="0" collapsed="false">
      <c r="E232" s="0" t="n">
        <v>229</v>
      </c>
      <c r="F232" s="0" t="n">
        <v>175.4</v>
      </c>
      <c r="G232" s="0" t="n">
        <v>0.7</v>
      </c>
      <c r="I232" s="0" t="n">
        <v>57.25</v>
      </c>
      <c r="J232" s="0" t="n">
        <v>0</v>
      </c>
      <c r="K232" s="0" t="n">
        <v>0</v>
      </c>
    </row>
    <row r="233" customFormat="false" ht="12.8" hidden="false" customHeight="false" outlineLevel="0" collapsed="false">
      <c r="E233" s="0" t="n">
        <v>230</v>
      </c>
      <c r="F233" s="0" t="n">
        <v>176.1</v>
      </c>
      <c r="G233" s="0" t="n">
        <v>0.7</v>
      </c>
      <c r="I233" s="0" t="n">
        <v>57.5</v>
      </c>
      <c r="J233" s="0" t="n">
        <v>0</v>
      </c>
      <c r="K233" s="0" t="n">
        <v>0</v>
      </c>
    </row>
    <row r="234" customFormat="false" ht="12.8" hidden="false" customHeight="false" outlineLevel="0" collapsed="false">
      <c r="E234" s="0" t="n">
        <v>231</v>
      </c>
      <c r="F234" s="0" t="n">
        <v>176.9</v>
      </c>
      <c r="G234" s="0" t="n">
        <v>0.7</v>
      </c>
      <c r="I234" s="0" t="n">
        <v>57.75</v>
      </c>
      <c r="J234" s="0" t="n">
        <v>0</v>
      </c>
      <c r="K234" s="0" t="n">
        <v>0</v>
      </c>
    </row>
    <row r="235" customFormat="false" ht="12.8" hidden="false" customHeight="false" outlineLevel="0" collapsed="false">
      <c r="E235" s="0" t="n">
        <v>232</v>
      </c>
      <c r="F235" s="0" t="n">
        <v>177.6</v>
      </c>
      <c r="G235" s="0" t="n">
        <v>0.7</v>
      </c>
      <c r="I235" s="0" t="n">
        <v>58</v>
      </c>
      <c r="J235" s="0" t="n">
        <v>0</v>
      </c>
      <c r="K235" s="0" t="n">
        <v>0</v>
      </c>
    </row>
    <row r="236" customFormat="false" ht="12.8" hidden="false" customHeight="false" outlineLevel="0" collapsed="false">
      <c r="E236" s="0" t="n">
        <v>233</v>
      </c>
      <c r="F236" s="0" t="n">
        <v>178.4</v>
      </c>
      <c r="G236" s="0" t="n">
        <v>0.8</v>
      </c>
      <c r="I236" s="0" t="n">
        <v>58.25</v>
      </c>
      <c r="J236" s="0" t="n">
        <v>0</v>
      </c>
      <c r="K236" s="0" t="n">
        <v>0</v>
      </c>
    </row>
    <row r="237" customFormat="false" ht="12.8" hidden="false" customHeight="false" outlineLevel="0" collapsed="false">
      <c r="E237" s="0" t="n">
        <v>234</v>
      </c>
      <c r="F237" s="0" t="n">
        <v>179.8</v>
      </c>
      <c r="G237" s="0" t="n">
        <v>1.5</v>
      </c>
      <c r="I237" s="0" t="n">
        <v>58.5</v>
      </c>
      <c r="J237" s="0" t="n">
        <v>0</v>
      </c>
      <c r="K237" s="0" t="n">
        <v>0</v>
      </c>
    </row>
    <row r="238" customFormat="false" ht="12.8" hidden="false" customHeight="false" outlineLevel="0" collapsed="false">
      <c r="E238" s="0" t="n">
        <v>235</v>
      </c>
      <c r="F238" s="0" t="n">
        <v>181.3</v>
      </c>
      <c r="G238" s="0" t="n">
        <v>1.5</v>
      </c>
      <c r="I238" s="0" t="n">
        <v>58.75</v>
      </c>
      <c r="J238" s="0" t="n">
        <v>0</v>
      </c>
      <c r="K238" s="0" t="n">
        <v>0</v>
      </c>
    </row>
    <row r="239" customFormat="false" ht="12.8" hidden="false" customHeight="false" outlineLevel="0" collapsed="false">
      <c r="E239" s="0" t="n">
        <v>236</v>
      </c>
      <c r="F239" s="0" t="n">
        <v>182.8</v>
      </c>
      <c r="G239" s="0" t="n">
        <v>1.5</v>
      </c>
      <c r="I239" s="0" t="n">
        <v>59</v>
      </c>
      <c r="J239" s="0" t="n">
        <v>0</v>
      </c>
      <c r="K239" s="0" t="n">
        <v>0</v>
      </c>
    </row>
    <row r="240" customFormat="false" ht="12.8" hidden="false" customHeight="false" outlineLevel="0" collapsed="false">
      <c r="E240" s="0" t="n">
        <v>237</v>
      </c>
      <c r="F240" s="0" t="n">
        <v>184.3</v>
      </c>
      <c r="G240" s="0" t="n">
        <v>1.5</v>
      </c>
      <c r="I240" s="0" t="n">
        <v>59.25</v>
      </c>
      <c r="J240" s="0" t="n">
        <v>0</v>
      </c>
      <c r="K240" s="0" t="n">
        <v>0</v>
      </c>
    </row>
    <row r="241" customFormat="false" ht="12.8" hidden="false" customHeight="false" outlineLevel="0" collapsed="false">
      <c r="E241" s="0" t="n">
        <v>238</v>
      </c>
      <c r="F241" s="0" t="n">
        <v>198.3</v>
      </c>
      <c r="G241" s="0" t="n">
        <v>14</v>
      </c>
      <c r="I241" s="0" t="n">
        <v>59.5</v>
      </c>
      <c r="J241" s="0" t="n">
        <v>0</v>
      </c>
      <c r="K241" s="0" t="n">
        <v>0</v>
      </c>
    </row>
    <row r="242" customFormat="false" ht="12.8" hidden="false" customHeight="false" outlineLevel="0" collapsed="false">
      <c r="E242" s="0" t="n">
        <v>239</v>
      </c>
      <c r="F242" s="0" t="n">
        <v>207.8</v>
      </c>
      <c r="G242" s="0" t="n">
        <v>9.5</v>
      </c>
      <c r="I242" s="0" t="n">
        <v>59.75</v>
      </c>
      <c r="J242" s="0" t="n">
        <v>0</v>
      </c>
      <c r="K242" s="0" t="n">
        <v>0</v>
      </c>
    </row>
    <row r="243" customFormat="false" ht="12.8" hidden="false" customHeight="false" outlineLevel="0" collapsed="false">
      <c r="E243" s="0" t="n">
        <v>240</v>
      </c>
      <c r="F243" s="0" t="n">
        <v>217.4</v>
      </c>
      <c r="G243" s="0" t="n">
        <v>9.6</v>
      </c>
      <c r="I243" s="0" t="n">
        <v>60</v>
      </c>
      <c r="J243" s="0" t="n">
        <v>0</v>
      </c>
      <c r="K243" s="0" t="n">
        <v>0</v>
      </c>
    </row>
    <row r="244" customFormat="false" ht="12.8" hidden="false" customHeight="false" outlineLevel="0" collapsed="false">
      <c r="E244" s="0" t="n">
        <v>241</v>
      </c>
      <c r="F244" s="0" t="n">
        <v>222.8</v>
      </c>
      <c r="G244" s="0" t="n">
        <v>5.5</v>
      </c>
      <c r="I244" s="0" t="n">
        <v>60.25</v>
      </c>
      <c r="J244" s="0" t="n">
        <v>0</v>
      </c>
      <c r="K244" s="0" t="n">
        <v>0</v>
      </c>
    </row>
    <row r="245" customFormat="false" ht="12.8" hidden="false" customHeight="false" outlineLevel="0" collapsed="false">
      <c r="E245" s="0" t="n">
        <v>242</v>
      </c>
      <c r="F245" s="0" t="n">
        <v>226.8</v>
      </c>
      <c r="G245" s="0" t="n">
        <v>4</v>
      </c>
      <c r="I245" s="0" t="n">
        <v>60.5</v>
      </c>
      <c r="J245" s="0" t="n">
        <v>0</v>
      </c>
      <c r="K245" s="0" t="n">
        <v>0</v>
      </c>
    </row>
    <row r="246" customFormat="false" ht="12.8" hidden="false" customHeight="false" outlineLevel="0" collapsed="false">
      <c r="E246" s="0" t="n">
        <v>243</v>
      </c>
      <c r="F246" s="0" t="n">
        <v>230.2</v>
      </c>
      <c r="G246" s="0" t="n">
        <v>3.3</v>
      </c>
      <c r="I246" s="0" t="n">
        <v>60.75</v>
      </c>
      <c r="J246" s="0" t="n">
        <v>0</v>
      </c>
      <c r="K246" s="0" t="n">
        <v>0</v>
      </c>
    </row>
    <row r="247" customFormat="false" ht="12.8" hidden="false" customHeight="false" outlineLevel="0" collapsed="false">
      <c r="E247" s="0" t="n">
        <v>244</v>
      </c>
      <c r="F247" s="0" t="n">
        <v>232.8</v>
      </c>
      <c r="G247" s="0" t="n">
        <v>2.6</v>
      </c>
      <c r="I247" s="0" t="n">
        <v>61</v>
      </c>
      <c r="J247" s="0" t="n">
        <v>0</v>
      </c>
      <c r="K247" s="0" t="n">
        <v>0</v>
      </c>
    </row>
    <row r="248" customFormat="false" ht="12.8" hidden="false" customHeight="false" outlineLevel="0" collapsed="false">
      <c r="E248" s="0" t="n">
        <v>245</v>
      </c>
      <c r="F248" s="0" t="n">
        <v>235</v>
      </c>
      <c r="G248" s="0" t="n">
        <v>2.2</v>
      </c>
      <c r="I248" s="0" t="n">
        <v>61.25</v>
      </c>
      <c r="J248" s="0" t="n">
        <v>0</v>
      </c>
      <c r="K248" s="0" t="n">
        <v>0</v>
      </c>
    </row>
    <row r="249" customFormat="false" ht="12.8" hidden="false" customHeight="false" outlineLevel="0" collapsed="false">
      <c r="E249" s="0" t="n">
        <v>246</v>
      </c>
      <c r="F249" s="0" t="n">
        <v>237.3</v>
      </c>
      <c r="G249" s="0" t="n">
        <v>2.2</v>
      </c>
      <c r="I249" s="0" t="n">
        <v>61.5</v>
      </c>
      <c r="J249" s="0" t="n">
        <v>0</v>
      </c>
      <c r="K249" s="0" t="n">
        <v>0</v>
      </c>
    </row>
    <row r="250" customFormat="false" ht="12.8" hidden="false" customHeight="false" outlineLevel="0" collapsed="false">
      <c r="E250" s="0" t="n">
        <v>247</v>
      </c>
      <c r="F250" s="0" t="n">
        <v>238.7</v>
      </c>
      <c r="G250" s="0" t="n">
        <v>1.4</v>
      </c>
      <c r="I250" s="0" t="n">
        <v>61.75</v>
      </c>
      <c r="J250" s="0" t="n">
        <v>0</v>
      </c>
      <c r="K250" s="0" t="n">
        <v>0</v>
      </c>
    </row>
    <row r="251" customFormat="false" ht="12.8" hidden="false" customHeight="false" outlineLevel="0" collapsed="false">
      <c r="E251" s="0" t="n">
        <v>248</v>
      </c>
      <c r="F251" s="0" t="n">
        <v>239.6</v>
      </c>
      <c r="G251" s="0" t="n">
        <v>1</v>
      </c>
      <c r="I251" s="0" t="n">
        <v>62</v>
      </c>
      <c r="J251" s="0" t="n">
        <v>0</v>
      </c>
      <c r="K251" s="0" t="n">
        <v>0</v>
      </c>
    </row>
    <row r="252" customFormat="false" ht="12.8" hidden="false" customHeight="false" outlineLevel="0" collapsed="false">
      <c r="E252" s="0" t="n">
        <v>249</v>
      </c>
      <c r="F252" s="0" t="n">
        <v>240.6</v>
      </c>
      <c r="G252" s="0" t="n">
        <v>1</v>
      </c>
      <c r="I252" s="0" t="n">
        <v>62.25</v>
      </c>
      <c r="J252" s="0" t="n">
        <v>0</v>
      </c>
      <c r="K252" s="0" t="n">
        <v>0</v>
      </c>
    </row>
    <row r="253" customFormat="false" ht="12.8" hidden="false" customHeight="false" outlineLevel="0" collapsed="false">
      <c r="E253" s="0" t="n">
        <v>250</v>
      </c>
      <c r="F253" s="0" t="n">
        <v>241.6</v>
      </c>
      <c r="G253" s="0" t="n">
        <v>1</v>
      </c>
      <c r="I253" s="0" t="n">
        <v>62.5</v>
      </c>
      <c r="J253" s="0" t="n">
        <v>0</v>
      </c>
      <c r="K253" s="0" t="n">
        <v>0</v>
      </c>
    </row>
    <row r="254" customFormat="false" ht="12.8" hidden="false" customHeight="false" outlineLevel="0" collapsed="false">
      <c r="E254" s="0" t="n">
        <v>251</v>
      </c>
      <c r="F254" s="0" t="n">
        <v>242.5</v>
      </c>
      <c r="G254" s="0" t="n">
        <v>1</v>
      </c>
      <c r="I254" s="0" t="n">
        <v>62.75</v>
      </c>
      <c r="J254" s="0" t="n">
        <v>0</v>
      </c>
      <c r="K254" s="0" t="n">
        <v>0</v>
      </c>
    </row>
    <row r="255" customFormat="false" ht="12.8" hidden="false" customHeight="false" outlineLevel="0" collapsed="false">
      <c r="E255" s="0" t="n">
        <v>252</v>
      </c>
      <c r="F255" s="0" t="n">
        <v>243.5</v>
      </c>
      <c r="G255" s="0" t="n">
        <v>1</v>
      </c>
      <c r="I255" s="0" t="n">
        <v>63</v>
      </c>
      <c r="J255" s="0" t="n">
        <v>0</v>
      </c>
      <c r="K255" s="0" t="n">
        <v>0</v>
      </c>
    </row>
    <row r="256" customFormat="false" ht="12.8" hidden="false" customHeight="false" outlineLevel="0" collapsed="false">
      <c r="E256" s="0" t="n">
        <v>253</v>
      </c>
      <c r="F256" s="0" t="n">
        <v>244.4</v>
      </c>
      <c r="G256" s="0" t="n">
        <v>1</v>
      </c>
      <c r="I256" s="0" t="n">
        <v>63.25</v>
      </c>
      <c r="J256" s="0" t="n">
        <v>0</v>
      </c>
      <c r="K256" s="0" t="n">
        <v>0</v>
      </c>
    </row>
    <row r="257" customFormat="false" ht="12.8" hidden="false" customHeight="false" outlineLevel="0" collapsed="false">
      <c r="E257" s="0" t="n">
        <v>254</v>
      </c>
      <c r="F257" s="0" t="n">
        <v>245.4</v>
      </c>
      <c r="G257" s="0" t="n">
        <v>0.9</v>
      </c>
      <c r="I257" s="0" t="n">
        <v>63.5</v>
      </c>
      <c r="J257" s="0" t="n">
        <v>0</v>
      </c>
      <c r="K257" s="0" t="n">
        <v>0</v>
      </c>
    </row>
    <row r="258" customFormat="false" ht="12.8" hidden="false" customHeight="false" outlineLevel="0" collapsed="false">
      <c r="E258" s="0" t="n">
        <v>255</v>
      </c>
      <c r="F258" s="0" t="n">
        <v>246.2</v>
      </c>
      <c r="G258" s="0" t="n">
        <v>0.9</v>
      </c>
      <c r="I258" s="0" t="n">
        <v>63.75</v>
      </c>
      <c r="J258" s="0" t="n">
        <v>0</v>
      </c>
      <c r="K258" s="0" t="n">
        <v>0</v>
      </c>
    </row>
    <row r="259" customFormat="false" ht="12.8" hidden="false" customHeight="false" outlineLevel="0" collapsed="false">
      <c r="E259" s="0" t="n">
        <v>256</v>
      </c>
      <c r="F259" s="0" t="n">
        <v>247.1</v>
      </c>
      <c r="G259" s="0" t="n">
        <v>0.9</v>
      </c>
      <c r="I259" s="0" t="n">
        <v>64</v>
      </c>
      <c r="J259" s="0" t="n">
        <v>0</v>
      </c>
      <c r="K259" s="0" t="n">
        <v>0</v>
      </c>
    </row>
    <row r="260" customFormat="false" ht="12.8" hidden="false" customHeight="false" outlineLevel="0" collapsed="false">
      <c r="E260" s="0" t="n">
        <v>257</v>
      </c>
      <c r="F260" s="0" t="n">
        <v>247.9</v>
      </c>
      <c r="G260" s="0" t="n">
        <v>0.9</v>
      </c>
      <c r="I260" s="0" t="n">
        <v>64.25</v>
      </c>
      <c r="J260" s="0" t="n">
        <v>0</v>
      </c>
      <c r="K260" s="0" t="n">
        <v>0</v>
      </c>
    </row>
    <row r="261" customFormat="false" ht="12.8" hidden="false" customHeight="false" outlineLevel="0" collapsed="false">
      <c r="E261" s="0" t="n">
        <v>258</v>
      </c>
      <c r="F261" s="0" t="n">
        <v>248.8</v>
      </c>
      <c r="G261" s="0" t="n">
        <v>0.9</v>
      </c>
      <c r="I261" s="0" t="n">
        <v>64.5</v>
      </c>
      <c r="J261" s="0" t="n">
        <v>0</v>
      </c>
      <c r="K261" s="0" t="n">
        <v>0</v>
      </c>
    </row>
    <row r="262" customFormat="false" ht="12.8" hidden="false" customHeight="false" outlineLevel="0" collapsed="false">
      <c r="E262" s="0" t="n">
        <v>259</v>
      </c>
      <c r="F262" s="0" t="n">
        <v>249.6</v>
      </c>
      <c r="G262" s="0" t="n">
        <v>0.9</v>
      </c>
      <c r="I262" s="0" t="n">
        <v>64.75</v>
      </c>
      <c r="J262" s="0" t="n">
        <v>0</v>
      </c>
      <c r="K262" s="0" t="n">
        <v>0</v>
      </c>
    </row>
    <row r="263" customFormat="false" ht="12.8" hidden="false" customHeight="false" outlineLevel="0" collapsed="false">
      <c r="E263" s="0" t="n">
        <v>260</v>
      </c>
      <c r="F263" s="0" t="n">
        <v>250.5</v>
      </c>
      <c r="G263" s="0" t="n">
        <v>0.9</v>
      </c>
      <c r="I263" s="0" t="n">
        <v>65</v>
      </c>
      <c r="J263" s="0" t="n">
        <v>0</v>
      </c>
      <c r="K263" s="0" t="n">
        <v>0</v>
      </c>
    </row>
    <row r="264" customFormat="false" ht="12.8" hidden="false" customHeight="false" outlineLevel="0" collapsed="false">
      <c r="E264" s="0" t="n">
        <v>261</v>
      </c>
      <c r="F264" s="0" t="n">
        <v>251.4</v>
      </c>
      <c r="G264" s="0" t="n">
        <v>0.9</v>
      </c>
      <c r="I264" s="0" t="n">
        <v>65.25</v>
      </c>
      <c r="J264" s="0" t="n">
        <v>0</v>
      </c>
      <c r="K264" s="0" t="n">
        <v>0</v>
      </c>
    </row>
    <row r="265" customFormat="false" ht="12.8" hidden="false" customHeight="false" outlineLevel="0" collapsed="false">
      <c r="E265" s="0" t="n">
        <v>262</v>
      </c>
      <c r="F265" s="0" t="n">
        <v>256.9</v>
      </c>
      <c r="G265" s="0" t="n">
        <v>5.6</v>
      </c>
      <c r="I265" s="0" t="n">
        <v>65.5</v>
      </c>
      <c r="J265" s="0" t="n">
        <v>0</v>
      </c>
      <c r="K265" s="0" t="n">
        <v>0</v>
      </c>
    </row>
    <row r="266" customFormat="false" ht="12.8" hidden="false" customHeight="false" outlineLevel="0" collapsed="false">
      <c r="E266" s="0" t="n">
        <v>263</v>
      </c>
      <c r="F266" s="0" t="n">
        <v>265.6</v>
      </c>
      <c r="G266" s="0" t="n">
        <v>8.7</v>
      </c>
      <c r="I266" s="0" t="n">
        <v>65.75</v>
      </c>
      <c r="J266" s="0" t="n">
        <v>0</v>
      </c>
      <c r="K266" s="0" t="n">
        <v>0</v>
      </c>
    </row>
    <row r="267" customFormat="false" ht="12.8" hidden="false" customHeight="false" outlineLevel="0" collapsed="false">
      <c r="E267" s="0" t="n">
        <v>264</v>
      </c>
      <c r="F267" s="0" t="n">
        <v>267.9</v>
      </c>
      <c r="G267" s="0" t="n">
        <v>2.3</v>
      </c>
      <c r="I267" s="0" t="n">
        <v>66</v>
      </c>
      <c r="J267" s="0" t="n">
        <v>0</v>
      </c>
      <c r="K267" s="0" t="n">
        <v>0</v>
      </c>
    </row>
    <row r="268" customFormat="false" ht="12.8" hidden="false" customHeight="false" outlineLevel="0" collapsed="false">
      <c r="E268" s="0" t="n">
        <v>265</v>
      </c>
      <c r="F268" s="0" t="n">
        <v>270.2</v>
      </c>
      <c r="G268" s="0" t="n">
        <v>2.3</v>
      </c>
      <c r="I268" s="0" t="n">
        <v>66.25</v>
      </c>
      <c r="J268" s="0" t="n">
        <v>0</v>
      </c>
      <c r="K268" s="0" t="n">
        <v>0</v>
      </c>
    </row>
    <row r="269" customFormat="false" ht="12.8" hidden="false" customHeight="false" outlineLevel="0" collapsed="false">
      <c r="E269" s="0" t="n">
        <v>266</v>
      </c>
      <c r="F269" s="0" t="n">
        <v>272.4</v>
      </c>
      <c r="G269" s="0" t="n">
        <v>2.2</v>
      </c>
      <c r="I269" s="0" t="n">
        <v>66.5</v>
      </c>
      <c r="J269" s="0" t="n">
        <v>0</v>
      </c>
      <c r="K269" s="0" t="n">
        <v>0</v>
      </c>
    </row>
    <row r="270" customFormat="false" ht="12.8" hidden="false" customHeight="false" outlineLevel="0" collapsed="false">
      <c r="E270" s="0" t="n">
        <v>267</v>
      </c>
      <c r="F270" s="0" t="n">
        <v>272.9</v>
      </c>
      <c r="G270" s="0" t="n">
        <v>0.5</v>
      </c>
      <c r="I270" s="0" t="n">
        <v>66.75</v>
      </c>
      <c r="J270" s="0" t="n">
        <v>0</v>
      </c>
      <c r="K270" s="0" t="n">
        <v>0</v>
      </c>
    </row>
    <row r="271" customFormat="false" ht="12.8" hidden="false" customHeight="false" outlineLevel="0" collapsed="false">
      <c r="E271" s="0" t="n">
        <v>268</v>
      </c>
      <c r="F271" s="0" t="n">
        <v>273.4</v>
      </c>
      <c r="G271" s="0" t="n">
        <v>0.5</v>
      </c>
      <c r="I271" s="0" t="n">
        <v>67</v>
      </c>
      <c r="J271" s="0" t="n">
        <v>0</v>
      </c>
      <c r="K271" s="0" t="n">
        <v>0</v>
      </c>
    </row>
    <row r="272" customFormat="false" ht="12.8" hidden="false" customHeight="false" outlineLevel="0" collapsed="false">
      <c r="E272" s="0" t="n">
        <v>269</v>
      </c>
      <c r="F272" s="0" t="n">
        <v>273.9</v>
      </c>
      <c r="G272" s="0" t="n">
        <v>0.5</v>
      </c>
      <c r="I272" s="0" t="n">
        <v>67.25</v>
      </c>
      <c r="J272" s="0" t="n">
        <v>0</v>
      </c>
      <c r="K272" s="0" t="n">
        <v>0</v>
      </c>
    </row>
    <row r="273" customFormat="false" ht="12.8" hidden="false" customHeight="false" outlineLevel="0" collapsed="false">
      <c r="E273" s="0" t="n">
        <v>270</v>
      </c>
      <c r="F273" s="0" t="n">
        <v>274.4</v>
      </c>
      <c r="G273" s="0" t="n">
        <v>0.5</v>
      </c>
      <c r="I273" s="0" t="n">
        <v>67.5</v>
      </c>
      <c r="J273" s="0" t="n">
        <v>0</v>
      </c>
      <c r="K273" s="0" t="n">
        <v>0</v>
      </c>
    </row>
    <row r="274" customFormat="false" ht="12.8" hidden="false" customHeight="false" outlineLevel="0" collapsed="false">
      <c r="E274" s="0" t="n">
        <v>271</v>
      </c>
      <c r="F274" s="0" t="n">
        <v>274.9</v>
      </c>
      <c r="G274" s="0" t="n">
        <v>0.5</v>
      </c>
      <c r="I274" s="0" t="n">
        <v>67.75</v>
      </c>
      <c r="J274" s="0" t="n">
        <v>0</v>
      </c>
      <c r="K274" s="0" t="n">
        <v>0</v>
      </c>
    </row>
    <row r="275" customFormat="false" ht="12.8" hidden="false" customHeight="false" outlineLevel="0" collapsed="false">
      <c r="E275" s="0" t="n">
        <v>272</v>
      </c>
      <c r="F275" s="0" t="n">
        <v>275.4</v>
      </c>
      <c r="G275" s="0" t="n">
        <v>0.5</v>
      </c>
      <c r="I275" s="0" t="n">
        <v>68</v>
      </c>
      <c r="J275" s="0" t="n">
        <v>0</v>
      </c>
      <c r="K275" s="0" t="n">
        <v>0</v>
      </c>
    </row>
    <row r="276" customFormat="false" ht="12.8" hidden="false" customHeight="false" outlineLevel="0" collapsed="false">
      <c r="E276" s="0" t="n">
        <v>273</v>
      </c>
      <c r="F276" s="0" t="n">
        <v>275.9</v>
      </c>
      <c r="G276" s="0" t="n">
        <v>0.5</v>
      </c>
      <c r="I276" s="0" t="n">
        <v>68.25</v>
      </c>
      <c r="J276" s="0" t="n">
        <v>0</v>
      </c>
      <c r="K276" s="0" t="n">
        <v>0</v>
      </c>
    </row>
    <row r="277" customFormat="false" ht="12.8" hidden="false" customHeight="false" outlineLevel="0" collapsed="false">
      <c r="E277" s="0" t="n">
        <v>274</v>
      </c>
      <c r="F277" s="0" t="n">
        <v>276.4</v>
      </c>
      <c r="G277" s="0" t="n">
        <v>0.5</v>
      </c>
      <c r="I277" s="0" t="n">
        <v>68.5</v>
      </c>
      <c r="J277" s="0" t="n">
        <v>0</v>
      </c>
      <c r="K277" s="0" t="n">
        <v>0</v>
      </c>
    </row>
    <row r="278" customFormat="false" ht="12.8" hidden="false" customHeight="false" outlineLevel="0" collapsed="false">
      <c r="E278" s="0" t="n">
        <v>275</v>
      </c>
      <c r="F278" s="0" t="n">
        <v>276.9</v>
      </c>
      <c r="G278" s="0" t="n">
        <v>0.5</v>
      </c>
      <c r="I278" s="0" t="n">
        <v>68.75</v>
      </c>
      <c r="J278" s="0" t="n">
        <v>0</v>
      </c>
      <c r="K278" s="0" t="n">
        <v>0</v>
      </c>
    </row>
    <row r="279" customFormat="false" ht="12.8" hidden="false" customHeight="false" outlineLevel="0" collapsed="false">
      <c r="E279" s="0" t="n">
        <v>276</v>
      </c>
      <c r="F279" s="0" t="n">
        <v>277.5</v>
      </c>
      <c r="G279" s="0" t="n">
        <v>0.5</v>
      </c>
      <c r="I279" s="0" t="n">
        <v>69</v>
      </c>
      <c r="J279" s="0" t="n">
        <v>0</v>
      </c>
      <c r="K279" s="0" t="n">
        <v>0</v>
      </c>
    </row>
    <row r="280" customFormat="false" ht="12.8" hidden="false" customHeight="false" outlineLevel="0" collapsed="false">
      <c r="E280" s="0" t="n">
        <v>277</v>
      </c>
      <c r="F280" s="0" t="n">
        <v>278</v>
      </c>
      <c r="G280" s="0" t="n">
        <v>0.5</v>
      </c>
      <c r="I280" s="0" t="n">
        <v>69.25</v>
      </c>
      <c r="J280" s="0" t="n">
        <v>0</v>
      </c>
      <c r="K280" s="0" t="n">
        <v>0</v>
      </c>
    </row>
    <row r="281" customFormat="false" ht="12.8" hidden="false" customHeight="false" outlineLevel="0" collapsed="false">
      <c r="E281" s="0" t="n">
        <v>278</v>
      </c>
      <c r="F281" s="0" t="n">
        <v>278.5</v>
      </c>
      <c r="G281" s="0" t="n">
        <v>0.5</v>
      </c>
      <c r="I281" s="0" t="n">
        <v>69.5</v>
      </c>
      <c r="J281" s="0" t="n">
        <v>0.1</v>
      </c>
      <c r="K281" s="0" t="n">
        <v>0.2</v>
      </c>
    </row>
    <row r="282" customFormat="false" ht="12.8" hidden="false" customHeight="false" outlineLevel="0" collapsed="false">
      <c r="E282" s="0" t="n">
        <v>279</v>
      </c>
      <c r="F282" s="0" t="n">
        <v>279</v>
      </c>
      <c r="G282" s="0" t="n">
        <v>0.5</v>
      </c>
      <c r="I282" s="0" t="n">
        <v>69.75</v>
      </c>
      <c r="J282" s="0" t="n">
        <v>0.2</v>
      </c>
      <c r="K282" s="0" t="n">
        <v>0.7</v>
      </c>
    </row>
    <row r="283" customFormat="false" ht="12.8" hidden="false" customHeight="false" outlineLevel="0" collapsed="false">
      <c r="E283" s="0" t="n">
        <v>280</v>
      </c>
      <c r="F283" s="0" t="n">
        <v>279.7</v>
      </c>
      <c r="G283" s="0" t="n">
        <v>0.7</v>
      </c>
      <c r="I283" s="0" t="n">
        <v>70</v>
      </c>
      <c r="J283" s="0" t="n">
        <v>0.4</v>
      </c>
      <c r="K283" s="0" t="n">
        <v>0.6</v>
      </c>
    </row>
    <row r="284" customFormat="false" ht="12.8" hidden="false" customHeight="false" outlineLevel="0" collapsed="false">
      <c r="E284" s="0" t="n">
        <v>281</v>
      </c>
      <c r="F284" s="0" t="n">
        <v>280.9</v>
      </c>
      <c r="G284" s="0" t="n">
        <v>1.2</v>
      </c>
      <c r="I284" s="0" t="n">
        <v>70.25</v>
      </c>
      <c r="J284" s="0" t="n">
        <v>0.5</v>
      </c>
      <c r="K284" s="0" t="n">
        <v>0.5</v>
      </c>
    </row>
    <row r="285" customFormat="false" ht="12.8" hidden="false" customHeight="false" outlineLevel="0" collapsed="false">
      <c r="E285" s="0" t="n">
        <v>282</v>
      </c>
      <c r="F285" s="0" t="n">
        <v>282.1</v>
      </c>
      <c r="G285" s="0" t="n">
        <v>1.2</v>
      </c>
      <c r="I285" s="0" t="n">
        <v>70.5</v>
      </c>
      <c r="J285" s="0" t="n">
        <v>0.6</v>
      </c>
      <c r="K285" s="0" t="n">
        <v>0.5</v>
      </c>
    </row>
    <row r="286" customFormat="false" ht="12.8" hidden="false" customHeight="false" outlineLevel="0" collapsed="false">
      <c r="E286" s="0" t="n">
        <v>283</v>
      </c>
      <c r="F286" s="0" t="n">
        <v>283.4</v>
      </c>
      <c r="G286" s="0" t="n">
        <v>1.2</v>
      </c>
      <c r="I286" s="0" t="n">
        <v>70.75</v>
      </c>
      <c r="J286" s="0" t="n">
        <v>0.8</v>
      </c>
      <c r="K286" s="0" t="n">
        <v>0.5</v>
      </c>
    </row>
    <row r="287" customFormat="false" ht="12.8" hidden="false" customHeight="false" outlineLevel="0" collapsed="false">
      <c r="E287" s="0" t="n">
        <v>284</v>
      </c>
      <c r="F287" s="0" t="n">
        <v>284.6</v>
      </c>
      <c r="G287" s="0" t="n">
        <v>1.2</v>
      </c>
      <c r="I287" s="0" t="n">
        <v>71</v>
      </c>
      <c r="J287" s="0" t="n">
        <v>0.9</v>
      </c>
      <c r="K287" s="0" t="n">
        <v>0.5</v>
      </c>
    </row>
    <row r="288" customFormat="false" ht="12.8" hidden="false" customHeight="false" outlineLevel="0" collapsed="false">
      <c r="E288" s="0" t="n">
        <v>285</v>
      </c>
      <c r="F288" s="0" t="n">
        <v>285.8</v>
      </c>
      <c r="G288" s="0" t="n">
        <v>1.2</v>
      </c>
      <c r="I288" s="0" t="n">
        <v>71.25</v>
      </c>
      <c r="J288" s="0" t="n">
        <v>1</v>
      </c>
      <c r="K288" s="0" t="n">
        <v>0.5</v>
      </c>
    </row>
    <row r="289" customFormat="false" ht="12.8" hidden="false" customHeight="false" outlineLevel="0" collapsed="false">
      <c r="E289" s="0" t="n">
        <v>286</v>
      </c>
      <c r="F289" s="0" t="n">
        <v>296.4</v>
      </c>
      <c r="G289" s="0" t="n">
        <v>10.5</v>
      </c>
      <c r="I289" s="0" t="n">
        <v>71.5</v>
      </c>
      <c r="J289" s="0" t="n">
        <v>1</v>
      </c>
      <c r="K289" s="0" t="n">
        <v>0.2</v>
      </c>
    </row>
    <row r="290" customFormat="false" ht="12.8" hidden="false" customHeight="false" outlineLevel="0" collapsed="false">
      <c r="E290" s="0" t="n">
        <v>287</v>
      </c>
      <c r="F290" s="0" t="n">
        <v>301.4</v>
      </c>
      <c r="G290" s="0" t="n">
        <v>5.1</v>
      </c>
      <c r="I290" s="0" t="n">
        <v>71.75</v>
      </c>
      <c r="J290" s="0" t="n">
        <v>1.1</v>
      </c>
      <c r="K290" s="0" t="n">
        <v>0.1</v>
      </c>
    </row>
    <row r="291" customFormat="false" ht="12.8" hidden="false" customHeight="false" outlineLevel="0" collapsed="false">
      <c r="E291" s="0" t="n">
        <v>288</v>
      </c>
      <c r="F291" s="0" t="n">
        <v>305.8</v>
      </c>
      <c r="G291" s="0" t="n">
        <v>4.4</v>
      </c>
      <c r="I291" s="0" t="n">
        <v>72</v>
      </c>
      <c r="J291" s="0" t="n">
        <v>1.1</v>
      </c>
      <c r="K291" s="0" t="n">
        <v>0.1</v>
      </c>
    </row>
    <row r="292" customFormat="false" ht="12.8" hidden="false" customHeight="false" outlineLevel="0" collapsed="false">
      <c r="E292" s="0" t="n">
        <v>289</v>
      </c>
      <c r="F292" s="0" t="n">
        <v>308.3</v>
      </c>
      <c r="G292" s="0" t="n">
        <v>2.5</v>
      </c>
      <c r="I292" s="0" t="n">
        <v>72.25</v>
      </c>
      <c r="J292" s="0" t="n">
        <v>1.1</v>
      </c>
      <c r="K292" s="0" t="n">
        <v>0.1</v>
      </c>
    </row>
    <row r="293" customFormat="false" ht="12.8" hidden="false" customHeight="false" outlineLevel="0" collapsed="false">
      <c r="E293" s="0" t="n">
        <v>290</v>
      </c>
      <c r="F293" s="0" t="n">
        <v>309.7</v>
      </c>
      <c r="G293" s="0" t="n">
        <v>1.4</v>
      </c>
      <c r="I293" s="0" t="n">
        <v>72.5</v>
      </c>
      <c r="J293" s="0" t="n">
        <v>1.1</v>
      </c>
      <c r="K293" s="0" t="n">
        <v>0.1</v>
      </c>
    </row>
    <row r="294" customFormat="false" ht="12.8" hidden="false" customHeight="false" outlineLevel="0" collapsed="false">
      <c r="E294" s="0" t="n">
        <v>291</v>
      </c>
      <c r="F294" s="0" t="n">
        <v>311.1</v>
      </c>
      <c r="G294" s="0" t="n">
        <v>1.4</v>
      </c>
      <c r="I294" s="0" t="n">
        <v>72.75</v>
      </c>
      <c r="J294" s="0" t="n">
        <v>1.1</v>
      </c>
      <c r="K294" s="0" t="n">
        <v>0.1</v>
      </c>
    </row>
    <row r="295" customFormat="false" ht="12.8" hidden="false" customHeight="false" outlineLevel="0" collapsed="false">
      <c r="E295" s="0" t="n">
        <v>292</v>
      </c>
      <c r="F295" s="0" t="n">
        <v>312.5</v>
      </c>
      <c r="G295" s="0" t="n">
        <v>1.4</v>
      </c>
      <c r="I295" s="0" t="n">
        <v>73</v>
      </c>
      <c r="J295" s="0" t="n">
        <v>1.1</v>
      </c>
      <c r="K295" s="0" t="n">
        <v>0.1</v>
      </c>
    </row>
    <row r="296" customFormat="false" ht="12.8" hidden="false" customHeight="false" outlineLevel="0" collapsed="false">
      <c r="E296" s="0" t="n">
        <v>293</v>
      </c>
      <c r="F296" s="0" t="n">
        <v>313.9</v>
      </c>
      <c r="G296" s="0" t="n">
        <v>1.4</v>
      </c>
      <c r="I296" s="0" t="n">
        <v>73.25</v>
      </c>
      <c r="J296" s="0" t="n">
        <v>1.1</v>
      </c>
      <c r="K296" s="0" t="n">
        <v>0.1</v>
      </c>
    </row>
    <row r="297" customFormat="false" ht="12.8" hidden="false" customHeight="false" outlineLevel="0" collapsed="false">
      <c r="E297" s="0" t="n">
        <v>294</v>
      </c>
      <c r="F297" s="0" t="n">
        <v>314.9</v>
      </c>
      <c r="G297" s="0" t="n">
        <v>0.9</v>
      </c>
      <c r="I297" s="0" t="n">
        <v>73.5</v>
      </c>
      <c r="J297" s="0" t="n">
        <v>1.2</v>
      </c>
      <c r="K297" s="0" t="n">
        <v>0.1</v>
      </c>
    </row>
    <row r="298" customFormat="false" ht="12.8" hidden="false" customHeight="false" outlineLevel="0" collapsed="false">
      <c r="E298" s="0" t="n">
        <v>295</v>
      </c>
      <c r="F298" s="0" t="n">
        <v>315.6</v>
      </c>
      <c r="G298" s="0" t="n">
        <v>0.7</v>
      </c>
      <c r="I298" s="0" t="n">
        <v>73.75</v>
      </c>
      <c r="J298" s="0" t="n">
        <v>1.2</v>
      </c>
      <c r="K298" s="0" t="n">
        <v>0.1</v>
      </c>
    </row>
    <row r="299" customFormat="false" ht="12.8" hidden="false" customHeight="false" outlineLevel="0" collapsed="false">
      <c r="E299" s="0" t="n">
        <v>296</v>
      </c>
      <c r="F299" s="0" t="n">
        <v>316.3</v>
      </c>
      <c r="G299" s="0" t="n">
        <v>0.7</v>
      </c>
      <c r="I299" s="0" t="n">
        <v>74</v>
      </c>
      <c r="J299" s="0" t="n">
        <v>1.2</v>
      </c>
      <c r="K299" s="0" t="n">
        <v>0.1</v>
      </c>
    </row>
    <row r="300" customFormat="false" ht="12.8" hidden="false" customHeight="false" outlineLevel="0" collapsed="false">
      <c r="E300" s="0" t="n">
        <v>297</v>
      </c>
      <c r="F300" s="0" t="n">
        <v>317</v>
      </c>
      <c r="G300" s="0" t="n">
        <v>0.7</v>
      </c>
      <c r="I300" s="0" t="n">
        <v>74.25</v>
      </c>
      <c r="J300" s="0" t="n">
        <v>1.2</v>
      </c>
      <c r="K300" s="0" t="n">
        <v>0.1</v>
      </c>
    </row>
    <row r="301" customFormat="false" ht="12.8" hidden="false" customHeight="false" outlineLevel="0" collapsed="false">
      <c r="E301" s="0" t="n">
        <v>298</v>
      </c>
      <c r="F301" s="0" t="n">
        <v>317.7</v>
      </c>
      <c r="G301" s="0" t="n">
        <v>0.7</v>
      </c>
      <c r="I301" s="0" t="n">
        <v>74.5</v>
      </c>
      <c r="J301" s="0" t="n">
        <v>1.2</v>
      </c>
      <c r="K301" s="0" t="n">
        <v>0.1</v>
      </c>
    </row>
    <row r="302" customFormat="false" ht="12.8" hidden="false" customHeight="false" outlineLevel="0" collapsed="false">
      <c r="E302" s="0" t="n">
        <v>299</v>
      </c>
      <c r="F302" s="0" t="n">
        <v>318.4</v>
      </c>
      <c r="G302" s="0" t="n">
        <v>0.7</v>
      </c>
      <c r="I302" s="0" t="n">
        <v>74.75</v>
      </c>
      <c r="J302" s="0" t="n">
        <v>1.2</v>
      </c>
      <c r="K302" s="0" t="n">
        <v>0.1</v>
      </c>
    </row>
    <row r="303" customFormat="false" ht="12.8" hidden="false" customHeight="false" outlineLevel="0" collapsed="false">
      <c r="E303" s="0" t="n">
        <v>300</v>
      </c>
      <c r="F303" s="0" t="n">
        <v>319.1</v>
      </c>
      <c r="G303" s="0" t="n">
        <v>0.7</v>
      </c>
      <c r="I303" s="0" t="n">
        <v>75</v>
      </c>
      <c r="J303" s="0" t="n">
        <v>1.2</v>
      </c>
      <c r="K303" s="0" t="n">
        <v>0.1</v>
      </c>
    </row>
    <row r="304" customFormat="false" ht="12.8" hidden="false" customHeight="false" outlineLevel="0" collapsed="false">
      <c r="E304" s="0" t="n">
        <v>301</v>
      </c>
      <c r="F304" s="0" t="n">
        <v>319.8</v>
      </c>
      <c r="G304" s="0" t="n">
        <v>0.7</v>
      </c>
      <c r="I304" s="0" t="n">
        <v>75.25</v>
      </c>
      <c r="J304" s="0" t="n">
        <v>1.2</v>
      </c>
      <c r="K304" s="0" t="n">
        <v>0.1</v>
      </c>
    </row>
    <row r="305" customFormat="false" ht="12.8" hidden="false" customHeight="false" outlineLevel="0" collapsed="false">
      <c r="E305" s="0" t="n">
        <v>302</v>
      </c>
      <c r="F305" s="0" t="n">
        <v>320.5</v>
      </c>
      <c r="G305" s="0" t="n">
        <v>0.7</v>
      </c>
      <c r="I305" s="0" t="n">
        <v>75.5</v>
      </c>
      <c r="J305" s="0" t="n">
        <v>1.3</v>
      </c>
      <c r="K305" s="0" t="n">
        <v>0.1</v>
      </c>
    </row>
    <row r="306" customFormat="false" ht="12.8" hidden="false" customHeight="false" outlineLevel="0" collapsed="false">
      <c r="E306" s="0" t="n">
        <v>303</v>
      </c>
      <c r="F306" s="0" t="n">
        <v>321.2</v>
      </c>
      <c r="G306" s="0" t="n">
        <v>0.7</v>
      </c>
      <c r="I306" s="0" t="n">
        <v>75.75</v>
      </c>
      <c r="J306" s="0" t="n">
        <v>1.3</v>
      </c>
      <c r="K306" s="0" t="n">
        <v>0.1</v>
      </c>
    </row>
    <row r="307" customFormat="false" ht="12.8" hidden="false" customHeight="false" outlineLevel="0" collapsed="false">
      <c r="E307" s="0" t="n">
        <v>304</v>
      </c>
      <c r="F307" s="0" t="n">
        <v>322.2</v>
      </c>
      <c r="G307" s="0" t="n">
        <v>1</v>
      </c>
      <c r="I307" s="0" t="n">
        <v>76</v>
      </c>
      <c r="J307" s="0" t="n">
        <v>1.3</v>
      </c>
      <c r="K307" s="0" t="n">
        <v>0.1</v>
      </c>
    </row>
    <row r="308" customFormat="false" ht="12.8" hidden="false" customHeight="false" outlineLevel="0" collapsed="false">
      <c r="E308" s="0" t="n">
        <v>305</v>
      </c>
      <c r="F308" s="0" t="n">
        <v>323.4</v>
      </c>
      <c r="G308" s="0" t="n">
        <v>1.2</v>
      </c>
      <c r="I308" s="0" t="n">
        <v>76.25</v>
      </c>
      <c r="J308" s="0" t="n">
        <v>1.3</v>
      </c>
      <c r="K308" s="0" t="n">
        <v>0.1</v>
      </c>
    </row>
    <row r="309" customFormat="false" ht="12.8" hidden="false" customHeight="false" outlineLevel="0" collapsed="false">
      <c r="E309" s="0" t="n">
        <v>306</v>
      </c>
      <c r="F309" s="0" t="n">
        <v>324.6</v>
      </c>
      <c r="G309" s="0" t="n">
        <v>1.2</v>
      </c>
      <c r="I309" s="0" t="n">
        <v>76.5</v>
      </c>
      <c r="J309" s="0" t="n">
        <v>1.3</v>
      </c>
      <c r="K309" s="0" t="n">
        <v>0.1</v>
      </c>
    </row>
    <row r="310" customFormat="false" ht="12.8" hidden="false" customHeight="false" outlineLevel="0" collapsed="false">
      <c r="E310" s="0" t="n">
        <v>307</v>
      </c>
      <c r="F310" s="0" t="n">
        <v>325.7</v>
      </c>
      <c r="G310" s="0" t="n">
        <v>1.2</v>
      </c>
      <c r="I310" s="0" t="n">
        <v>76.75</v>
      </c>
      <c r="J310" s="0" t="n">
        <v>1.3</v>
      </c>
      <c r="K310" s="0" t="n">
        <v>0.1</v>
      </c>
    </row>
    <row r="311" customFormat="false" ht="12.8" hidden="false" customHeight="false" outlineLevel="0" collapsed="false">
      <c r="E311" s="0" t="n">
        <v>308</v>
      </c>
      <c r="F311" s="0" t="n">
        <v>326.9</v>
      </c>
      <c r="G311" s="0" t="n">
        <v>1.2</v>
      </c>
      <c r="I311" s="0" t="n">
        <v>77</v>
      </c>
      <c r="J311" s="0" t="n">
        <v>1.3</v>
      </c>
      <c r="K311" s="0" t="n">
        <v>0.1</v>
      </c>
    </row>
    <row r="312" customFormat="false" ht="12.8" hidden="false" customHeight="false" outlineLevel="0" collapsed="false">
      <c r="E312" s="0" t="n">
        <v>309</v>
      </c>
      <c r="F312" s="0" t="n">
        <v>328.1</v>
      </c>
      <c r="G312" s="0" t="n">
        <v>1.2</v>
      </c>
      <c r="I312" s="0" t="n">
        <v>77.25</v>
      </c>
      <c r="J312" s="0" t="n">
        <v>1.3</v>
      </c>
      <c r="K312" s="0" t="n">
        <v>0.1</v>
      </c>
    </row>
    <row r="313" customFormat="false" ht="12.8" hidden="false" customHeight="false" outlineLevel="0" collapsed="false">
      <c r="E313" s="0" t="n">
        <v>310</v>
      </c>
      <c r="F313" s="0" t="n">
        <v>340.5</v>
      </c>
      <c r="G313" s="0" t="n">
        <v>12.3</v>
      </c>
      <c r="I313" s="0" t="n">
        <v>77.5</v>
      </c>
      <c r="J313" s="0" t="n">
        <v>1.4</v>
      </c>
      <c r="K313" s="0" t="n">
        <v>0.1</v>
      </c>
    </row>
    <row r="314" customFormat="false" ht="12.8" hidden="false" customHeight="false" outlineLevel="0" collapsed="false">
      <c r="E314" s="0" t="n">
        <v>311</v>
      </c>
      <c r="F314" s="0" t="n">
        <v>346.1</v>
      </c>
      <c r="G314" s="0" t="n">
        <v>5.6</v>
      </c>
      <c r="I314" s="0" t="n">
        <v>77.75</v>
      </c>
      <c r="J314" s="0" t="n">
        <v>1.4</v>
      </c>
      <c r="K314" s="0" t="n">
        <v>0.1</v>
      </c>
    </row>
    <row r="315" customFormat="false" ht="12.8" hidden="false" customHeight="false" outlineLevel="0" collapsed="false">
      <c r="E315" s="0" t="n">
        <v>312</v>
      </c>
      <c r="F315" s="0" t="n">
        <v>350.2</v>
      </c>
      <c r="G315" s="0" t="n">
        <v>4.2</v>
      </c>
      <c r="I315" s="0" t="n">
        <v>78</v>
      </c>
      <c r="J315" s="0" t="n">
        <v>1.4</v>
      </c>
      <c r="K315" s="0" t="n">
        <v>0.1</v>
      </c>
    </row>
    <row r="316" customFormat="false" ht="12.8" hidden="false" customHeight="false" outlineLevel="0" collapsed="false">
      <c r="E316" s="0" t="n">
        <v>313</v>
      </c>
      <c r="F316" s="0" t="n">
        <v>352</v>
      </c>
      <c r="G316" s="0" t="n">
        <v>1.8</v>
      </c>
      <c r="I316" s="0" t="n">
        <v>78.25</v>
      </c>
      <c r="J316" s="0" t="n">
        <v>1.4</v>
      </c>
      <c r="K316" s="0" t="n">
        <v>0.1</v>
      </c>
    </row>
    <row r="317" customFormat="false" ht="12.8" hidden="false" customHeight="false" outlineLevel="0" collapsed="false">
      <c r="E317" s="0" t="n">
        <v>314</v>
      </c>
      <c r="F317" s="0" t="n">
        <v>353.9</v>
      </c>
      <c r="G317" s="0" t="n">
        <v>1.8</v>
      </c>
      <c r="I317" s="0" t="n">
        <v>78.5</v>
      </c>
      <c r="J317" s="0" t="n">
        <v>1.4</v>
      </c>
      <c r="K317" s="0" t="n">
        <v>0.1</v>
      </c>
    </row>
    <row r="318" customFormat="false" ht="12.8" hidden="false" customHeight="false" outlineLevel="0" collapsed="false">
      <c r="E318" s="0" t="n">
        <v>315</v>
      </c>
      <c r="F318" s="0" t="n">
        <v>355.7</v>
      </c>
      <c r="G318" s="0" t="n">
        <v>1.8</v>
      </c>
      <c r="I318" s="0" t="n">
        <v>78.75</v>
      </c>
      <c r="J318" s="0" t="n">
        <v>1.4</v>
      </c>
      <c r="K318" s="0" t="n">
        <v>0.1</v>
      </c>
    </row>
    <row r="319" customFormat="false" ht="12.8" hidden="false" customHeight="false" outlineLevel="0" collapsed="false">
      <c r="E319" s="0" t="n">
        <v>316</v>
      </c>
      <c r="F319" s="0" t="n">
        <v>357.3</v>
      </c>
      <c r="G319" s="0" t="n">
        <v>1.6</v>
      </c>
      <c r="I319" s="0" t="n">
        <v>79</v>
      </c>
      <c r="J319" s="0" t="n">
        <v>1.4</v>
      </c>
      <c r="K319" s="0" t="n">
        <v>0.1</v>
      </c>
    </row>
    <row r="320" customFormat="false" ht="12.8" hidden="false" customHeight="false" outlineLevel="0" collapsed="false">
      <c r="E320" s="0" t="n">
        <v>317</v>
      </c>
      <c r="F320" s="0" t="n">
        <v>358.2</v>
      </c>
      <c r="G320" s="0" t="n">
        <v>0.9</v>
      </c>
      <c r="I320" s="0" t="n">
        <v>79.25</v>
      </c>
      <c r="J320" s="0" t="n">
        <v>1.4</v>
      </c>
      <c r="K320" s="0" t="n">
        <v>0.1</v>
      </c>
    </row>
    <row r="321" customFormat="false" ht="12.8" hidden="false" customHeight="false" outlineLevel="0" collapsed="false">
      <c r="E321" s="0" t="n">
        <v>318</v>
      </c>
      <c r="F321" s="0" t="n">
        <v>359.1</v>
      </c>
      <c r="G321" s="0" t="n">
        <v>0.9</v>
      </c>
      <c r="I321" s="0" t="n">
        <v>79.5</v>
      </c>
      <c r="J321" s="0" t="n">
        <v>1.5</v>
      </c>
      <c r="K321" s="0" t="n">
        <v>0.1</v>
      </c>
    </row>
    <row r="322" customFormat="false" ht="12.8" hidden="false" customHeight="false" outlineLevel="0" collapsed="false">
      <c r="E322" s="0" t="n">
        <v>319</v>
      </c>
      <c r="F322" s="0" t="n">
        <v>360</v>
      </c>
      <c r="G322" s="0" t="n">
        <v>0.9</v>
      </c>
      <c r="I322" s="0" t="n">
        <v>79.75</v>
      </c>
      <c r="J322" s="0" t="n">
        <v>1.5</v>
      </c>
      <c r="K322" s="0" t="n">
        <v>0.1</v>
      </c>
    </row>
    <row r="323" customFormat="false" ht="12.8" hidden="false" customHeight="false" outlineLevel="0" collapsed="false">
      <c r="E323" s="0" t="n">
        <v>320</v>
      </c>
      <c r="F323" s="0" t="n">
        <v>360.9</v>
      </c>
      <c r="G323" s="0" t="n">
        <v>0.9</v>
      </c>
      <c r="I323" s="0" t="n">
        <v>80</v>
      </c>
      <c r="J323" s="0" t="n">
        <v>1.5</v>
      </c>
      <c r="K323" s="0" t="n">
        <v>0.1</v>
      </c>
    </row>
    <row r="324" customFormat="false" ht="12.8" hidden="false" customHeight="false" outlineLevel="0" collapsed="false">
      <c r="E324" s="0" t="n">
        <v>321</v>
      </c>
      <c r="F324" s="0" t="n">
        <v>361.8</v>
      </c>
      <c r="G324" s="0" t="n">
        <v>0.9</v>
      </c>
      <c r="I324" s="0" t="n">
        <v>80.25</v>
      </c>
      <c r="J324" s="0" t="n">
        <v>1.5</v>
      </c>
      <c r="K324" s="0" t="n">
        <v>0.1</v>
      </c>
    </row>
    <row r="325" customFormat="false" ht="12.8" hidden="false" customHeight="false" outlineLevel="0" collapsed="false">
      <c r="E325" s="0" t="n">
        <v>322</v>
      </c>
      <c r="F325" s="0" t="n">
        <v>362.7</v>
      </c>
      <c r="G325" s="0" t="n">
        <v>0.9</v>
      </c>
      <c r="I325" s="0" t="n">
        <v>80.5</v>
      </c>
      <c r="J325" s="0" t="n">
        <v>1.5</v>
      </c>
      <c r="K325" s="0" t="n">
        <v>0.1</v>
      </c>
    </row>
    <row r="326" customFormat="false" ht="12.8" hidden="false" customHeight="false" outlineLevel="0" collapsed="false">
      <c r="E326" s="0" t="n">
        <v>323</v>
      </c>
      <c r="F326" s="0" t="n">
        <v>363.6</v>
      </c>
      <c r="G326" s="0" t="n">
        <v>0.9</v>
      </c>
      <c r="I326" s="0" t="n">
        <v>80.75</v>
      </c>
      <c r="J326" s="0" t="n">
        <v>1.5</v>
      </c>
      <c r="K326" s="0" t="n">
        <v>0.1</v>
      </c>
    </row>
    <row r="327" customFormat="false" ht="12.8" hidden="false" customHeight="false" outlineLevel="0" collapsed="false">
      <c r="E327" s="0" t="n">
        <v>324</v>
      </c>
      <c r="F327" s="0" t="n">
        <v>364.5</v>
      </c>
      <c r="G327" s="0" t="n">
        <v>0.9</v>
      </c>
      <c r="I327" s="0" t="n">
        <v>81</v>
      </c>
      <c r="J327" s="0" t="n">
        <v>1.5</v>
      </c>
      <c r="K327" s="0" t="n">
        <v>0.1</v>
      </c>
    </row>
    <row r="328" customFormat="false" ht="12.8" hidden="false" customHeight="false" outlineLevel="0" collapsed="false">
      <c r="E328" s="0" t="n">
        <v>325</v>
      </c>
      <c r="F328" s="0" t="n">
        <v>365.6</v>
      </c>
      <c r="G328" s="0" t="n">
        <v>1.1</v>
      </c>
      <c r="I328" s="0" t="n">
        <v>81.25</v>
      </c>
      <c r="J328" s="0" t="n">
        <v>1.5</v>
      </c>
      <c r="K328" s="0" t="n">
        <v>0.1</v>
      </c>
    </row>
    <row r="329" customFormat="false" ht="12.8" hidden="false" customHeight="false" outlineLevel="0" collapsed="false">
      <c r="E329" s="0" t="n">
        <v>326</v>
      </c>
      <c r="F329" s="0" t="n">
        <v>366.7</v>
      </c>
      <c r="G329" s="0" t="n">
        <v>1.1</v>
      </c>
      <c r="I329" s="0" t="n">
        <v>81.5</v>
      </c>
      <c r="J329" s="0" t="n">
        <v>1.6</v>
      </c>
      <c r="K329" s="0" t="n">
        <v>0.1</v>
      </c>
    </row>
    <row r="330" customFormat="false" ht="12.8" hidden="false" customHeight="false" outlineLevel="0" collapsed="false">
      <c r="E330" s="0" t="n">
        <v>327</v>
      </c>
      <c r="F330" s="0" t="n">
        <v>367.9</v>
      </c>
      <c r="G330" s="0" t="n">
        <v>1.1</v>
      </c>
      <c r="I330" s="0" t="n">
        <v>81.75</v>
      </c>
      <c r="J330" s="0" t="n">
        <v>1.6</v>
      </c>
      <c r="K330" s="0" t="n">
        <v>0.1</v>
      </c>
    </row>
    <row r="331" customFormat="false" ht="12.8" hidden="false" customHeight="false" outlineLevel="0" collapsed="false">
      <c r="E331" s="0" t="n">
        <v>328</v>
      </c>
      <c r="F331" s="0" t="n">
        <v>369</v>
      </c>
      <c r="G331" s="0" t="n">
        <v>1.1</v>
      </c>
      <c r="I331" s="0" t="n">
        <v>82</v>
      </c>
      <c r="J331" s="0" t="n">
        <v>1.6</v>
      </c>
      <c r="K331" s="0" t="n">
        <v>0.1</v>
      </c>
    </row>
    <row r="332" customFormat="false" ht="12.8" hidden="false" customHeight="false" outlineLevel="0" collapsed="false">
      <c r="E332" s="0" t="n">
        <v>329</v>
      </c>
      <c r="F332" s="0" t="n">
        <v>370.1</v>
      </c>
      <c r="G332" s="0" t="n">
        <v>1.1</v>
      </c>
      <c r="I332" s="0" t="n">
        <v>82.25</v>
      </c>
      <c r="J332" s="0" t="n">
        <v>1.6</v>
      </c>
      <c r="K332" s="0" t="n">
        <v>0.1</v>
      </c>
    </row>
    <row r="333" customFormat="false" ht="12.8" hidden="false" customHeight="false" outlineLevel="0" collapsed="false">
      <c r="E333" s="0" t="n">
        <v>330</v>
      </c>
      <c r="F333" s="0" t="n">
        <v>371.2</v>
      </c>
      <c r="G333" s="0" t="n">
        <v>1.1</v>
      </c>
      <c r="I333" s="0" t="n">
        <v>82.5</v>
      </c>
      <c r="J333" s="0" t="n">
        <v>1.6</v>
      </c>
      <c r="K333" s="0" t="n">
        <v>0.1</v>
      </c>
    </row>
    <row r="334" customFormat="false" ht="12.8" hidden="false" customHeight="false" outlineLevel="0" collapsed="false">
      <c r="E334" s="0" t="n">
        <v>331</v>
      </c>
      <c r="F334" s="0" t="n">
        <v>373.2</v>
      </c>
      <c r="G334" s="0" t="n">
        <v>2</v>
      </c>
      <c r="I334" s="0" t="n">
        <v>82.75</v>
      </c>
      <c r="J334" s="0" t="n">
        <v>1.6</v>
      </c>
      <c r="K334" s="0" t="n">
        <v>0.1</v>
      </c>
    </row>
    <row r="335" customFormat="false" ht="12.8" hidden="false" customHeight="false" outlineLevel="0" collapsed="false">
      <c r="E335" s="0" t="n">
        <v>332</v>
      </c>
      <c r="F335" s="0" t="n">
        <v>375.5</v>
      </c>
      <c r="G335" s="0" t="n">
        <v>2.3</v>
      </c>
      <c r="I335" s="0" t="n">
        <v>83</v>
      </c>
      <c r="J335" s="0" t="n">
        <v>1.6</v>
      </c>
      <c r="K335" s="0" t="n">
        <v>0.1</v>
      </c>
    </row>
    <row r="336" customFormat="false" ht="12.8" hidden="false" customHeight="false" outlineLevel="0" collapsed="false">
      <c r="E336" s="0" t="n">
        <v>333</v>
      </c>
      <c r="F336" s="0" t="n">
        <v>377.8</v>
      </c>
      <c r="G336" s="0" t="n">
        <v>2.3</v>
      </c>
      <c r="I336" s="0" t="n">
        <v>83.25</v>
      </c>
      <c r="J336" s="0" t="n">
        <v>1.6</v>
      </c>
      <c r="K336" s="0" t="n">
        <v>0.1</v>
      </c>
    </row>
    <row r="337" customFormat="false" ht="12.8" hidden="false" customHeight="false" outlineLevel="0" collapsed="false">
      <c r="E337" s="0" t="n">
        <v>334</v>
      </c>
      <c r="F337" s="0" t="n">
        <v>389.8</v>
      </c>
      <c r="G337" s="0" t="n">
        <v>12</v>
      </c>
      <c r="I337" s="0" t="n">
        <v>83.5</v>
      </c>
      <c r="J337" s="0" t="n">
        <v>1.7</v>
      </c>
      <c r="K337" s="0" t="n">
        <v>0.1</v>
      </c>
    </row>
    <row r="338" customFormat="false" ht="12.8" hidden="false" customHeight="false" outlineLevel="0" collapsed="false">
      <c r="E338" s="0" t="n">
        <v>335</v>
      </c>
      <c r="F338" s="0" t="n">
        <v>393.3</v>
      </c>
      <c r="G338" s="0" t="n">
        <v>3.5</v>
      </c>
      <c r="I338" s="0" t="n">
        <v>83.75</v>
      </c>
      <c r="J338" s="0" t="n">
        <v>1.7</v>
      </c>
      <c r="K338" s="0" t="n">
        <v>0.1</v>
      </c>
    </row>
    <row r="339" customFormat="false" ht="12.8" hidden="false" customHeight="false" outlineLevel="0" collapsed="false">
      <c r="E339" s="0" t="n">
        <v>336</v>
      </c>
      <c r="F339" s="0" t="n">
        <v>393.7</v>
      </c>
      <c r="G339" s="0" t="n">
        <v>0.4</v>
      </c>
      <c r="I339" s="0" t="n">
        <v>84</v>
      </c>
      <c r="J339" s="0" t="n">
        <v>1.7</v>
      </c>
      <c r="K339" s="0" t="n">
        <v>0.1</v>
      </c>
    </row>
    <row r="340" customFormat="false" ht="12.8" hidden="false" customHeight="false" outlineLevel="0" collapsed="false">
      <c r="E340" s="0" t="n">
        <v>337</v>
      </c>
      <c r="F340" s="0" t="n">
        <v>394</v>
      </c>
      <c r="G340" s="0" t="n">
        <v>0.4</v>
      </c>
      <c r="I340" s="0" t="n">
        <v>84.25</v>
      </c>
      <c r="J340" s="0" t="n">
        <v>1.7</v>
      </c>
      <c r="K340" s="0" t="n">
        <v>0.1</v>
      </c>
    </row>
    <row r="341" customFormat="false" ht="12.8" hidden="false" customHeight="false" outlineLevel="0" collapsed="false">
      <c r="E341" s="0" t="n">
        <v>338</v>
      </c>
      <c r="F341" s="0" t="n">
        <v>394.4</v>
      </c>
      <c r="G341" s="0" t="n">
        <v>0.4</v>
      </c>
      <c r="I341" s="0" t="n">
        <v>84.5</v>
      </c>
      <c r="J341" s="0" t="n">
        <v>1.7</v>
      </c>
      <c r="K341" s="0" t="n">
        <v>0.1</v>
      </c>
    </row>
    <row r="342" customFormat="false" ht="12.8" hidden="false" customHeight="false" outlineLevel="0" collapsed="false">
      <c r="E342" s="0" t="n">
        <v>339</v>
      </c>
      <c r="F342" s="0" t="n">
        <v>394.8</v>
      </c>
      <c r="G342" s="0" t="n">
        <v>0.4</v>
      </c>
      <c r="I342" s="0" t="n">
        <v>84.75</v>
      </c>
      <c r="J342" s="0" t="n">
        <v>1.7</v>
      </c>
      <c r="K342" s="0" t="n">
        <v>0.1</v>
      </c>
    </row>
    <row r="343" customFormat="false" ht="12.8" hidden="false" customHeight="false" outlineLevel="0" collapsed="false">
      <c r="E343" s="0" t="n">
        <v>340</v>
      </c>
      <c r="F343" s="0" t="n">
        <v>395.2</v>
      </c>
      <c r="G343" s="0" t="n">
        <v>0.4</v>
      </c>
      <c r="I343" s="0" t="n">
        <v>85</v>
      </c>
      <c r="J343" s="0" t="n">
        <v>1.7</v>
      </c>
      <c r="K343" s="0" t="n">
        <v>0.1</v>
      </c>
    </row>
    <row r="344" customFormat="false" ht="12.8" hidden="false" customHeight="false" outlineLevel="0" collapsed="false">
      <c r="E344" s="0" t="n">
        <v>341</v>
      </c>
      <c r="F344" s="0" t="n">
        <v>395.5</v>
      </c>
      <c r="G344" s="0" t="n">
        <v>0.4</v>
      </c>
      <c r="I344" s="0" t="n">
        <v>85.25</v>
      </c>
      <c r="J344" s="0" t="n">
        <v>1.7</v>
      </c>
      <c r="K344" s="0" t="n">
        <v>0.1</v>
      </c>
    </row>
    <row r="345" customFormat="false" ht="12.8" hidden="false" customHeight="false" outlineLevel="0" collapsed="false">
      <c r="E345" s="0" t="n">
        <v>342</v>
      </c>
      <c r="F345" s="0" t="n">
        <v>395.9</v>
      </c>
      <c r="G345" s="0" t="n">
        <v>0.4</v>
      </c>
      <c r="I345" s="0" t="n">
        <v>85.5</v>
      </c>
      <c r="J345" s="0" t="n">
        <v>1.8</v>
      </c>
      <c r="K345" s="0" t="n">
        <v>0.1</v>
      </c>
    </row>
    <row r="346" customFormat="false" ht="12.8" hidden="false" customHeight="false" outlineLevel="0" collapsed="false">
      <c r="E346" s="0" t="n">
        <v>343</v>
      </c>
      <c r="F346" s="0" t="n">
        <v>396.3</v>
      </c>
      <c r="G346" s="0" t="n">
        <v>0.4</v>
      </c>
      <c r="I346" s="0" t="n">
        <v>85.75</v>
      </c>
      <c r="J346" s="0" t="n">
        <v>1.8</v>
      </c>
      <c r="K346" s="0" t="n">
        <v>0.1</v>
      </c>
    </row>
    <row r="347" customFormat="false" ht="12.8" hidden="false" customHeight="false" outlineLevel="0" collapsed="false">
      <c r="E347" s="0" t="n">
        <v>344</v>
      </c>
      <c r="F347" s="0" t="n">
        <v>396.7</v>
      </c>
      <c r="G347" s="0" t="n">
        <v>0.4</v>
      </c>
      <c r="I347" s="0" t="n">
        <v>86</v>
      </c>
      <c r="J347" s="0" t="n">
        <v>1.8</v>
      </c>
      <c r="K347" s="0" t="n">
        <v>0.1</v>
      </c>
    </row>
    <row r="348" customFormat="false" ht="12.8" hidden="false" customHeight="false" outlineLevel="0" collapsed="false">
      <c r="E348" s="0" t="n">
        <v>345</v>
      </c>
      <c r="F348" s="0" t="n">
        <v>397</v>
      </c>
      <c r="G348" s="0" t="n">
        <v>0.4</v>
      </c>
      <c r="I348" s="0" t="n">
        <v>86.25</v>
      </c>
      <c r="J348" s="0" t="n">
        <v>1.8</v>
      </c>
      <c r="K348" s="0" t="n">
        <v>0.1</v>
      </c>
    </row>
    <row r="349" customFormat="false" ht="12.8" hidden="false" customHeight="false" outlineLevel="0" collapsed="false">
      <c r="E349" s="0" t="n">
        <v>346</v>
      </c>
      <c r="F349" s="0" t="n">
        <v>397.4</v>
      </c>
      <c r="G349" s="0" t="n">
        <v>0.4</v>
      </c>
      <c r="I349" s="0" t="n">
        <v>86.5</v>
      </c>
      <c r="J349" s="0" t="n">
        <v>1.8</v>
      </c>
      <c r="K349" s="0" t="n">
        <v>0.1</v>
      </c>
    </row>
    <row r="350" customFormat="false" ht="12.8" hidden="false" customHeight="false" outlineLevel="0" collapsed="false">
      <c r="E350" s="0" t="n">
        <v>347</v>
      </c>
      <c r="F350" s="0" t="n">
        <v>397.8</v>
      </c>
      <c r="G350" s="0" t="n">
        <v>0.4</v>
      </c>
      <c r="I350" s="0" t="n">
        <v>86.75</v>
      </c>
      <c r="J350" s="0" t="n">
        <v>1.8</v>
      </c>
      <c r="K350" s="0" t="n">
        <v>0.1</v>
      </c>
    </row>
    <row r="351" customFormat="false" ht="12.8" hidden="false" customHeight="false" outlineLevel="0" collapsed="false">
      <c r="E351" s="0" t="n">
        <v>348</v>
      </c>
      <c r="F351" s="0" t="n">
        <v>398.1</v>
      </c>
      <c r="G351" s="0" t="n">
        <v>0.4</v>
      </c>
      <c r="I351" s="0" t="n">
        <v>87</v>
      </c>
      <c r="J351" s="0" t="n">
        <v>1.8</v>
      </c>
      <c r="K351" s="0" t="n">
        <v>0.1</v>
      </c>
    </row>
    <row r="352" customFormat="false" ht="12.8" hidden="false" customHeight="false" outlineLevel="0" collapsed="false">
      <c r="E352" s="0" t="n">
        <v>349</v>
      </c>
      <c r="F352" s="0" t="n">
        <v>398.5</v>
      </c>
      <c r="G352" s="0" t="n">
        <v>0.4</v>
      </c>
      <c r="I352" s="0" t="n">
        <v>87.25</v>
      </c>
      <c r="J352" s="0" t="n">
        <v>1.8</v>
      </c>
      <c r="K352" s="0" t="n">
        <v>0.1</v>
      </c>
    </row>
    <row r="353" customFormat="false" ht="12.8" hidden="false" customHeight="false" outlineLevel="0" collapsed="false">
      <c r="E353" s="0" t="n">
        <v>350</v>
      </c>
      <c r="F353" s="0" t="n">
        <v>398.9</v>
      </c>
      <c r="G353" s="0" t="n">
        <v>0.4</v>
      </c>
      <c r="I353" s="0" t="n">
        <v>87.5</v>
      </c>
      <c r="J353" s="0" t="n">
        <v>1.9</v>
      </c>
      <c r="K353" s="0" t="n">
        <v>0.1</v>
      </c>
    </row>
    <row r="354" customFormat="false" ht="12.8" hidden="false" customHeight="false" outlineLevel="0" collapsed="false">
      <c r="E354" s="0" t="n">
        <v>351</v>
      </c>
      <c r="F354" s="0" t="n">
        <v>399.3</v>
      </c>
      <c r="G354" s="0" t="n">
        <v>0.4</v>
      </c>
      <c r="I354" s="0" t="n">
        <v>87.75</v>
      </c>
      <c r="J354" s="0" t="n">
        <v>1.9</v>
      </c>
      <c r="K354" s="0" t="n">
        <v>0.1</v>
      </c>
    </row>
    <row r="355" customFormat="false" ht="12.8" hidden="false" customHeight="false" outlineLevel="0" collapsed="false">
      <c r="E355" s="0" t="n">
        <v>352</v>
      </c>
      <c r="F355" s="0" t="n">
        <v>399.6</v>
      </c>
      <c r="G355" s="0" t="n">
        <v>0.4</v>
      </c>
      <c r="I355" s="0" t="n">
        <v>88</v>
      </c>
      <c r="J355" s="0" t="n">
        <v>1.9</v>
      </c>
      <c r="K355" s="0" t="n">
        <v>0.1</v>
      </c>
    </row>
    <row r="356" customFormat="false" ht="12.8" hidden="false" customHeight="false" outlineLevel="0" collapsed="false">
      <c r="E356" s="0" t="n">
        <v>353</v>
      </c>
      <c r="F356" s="0" t="n">
        <v>400</v>
      </c>
      <c r="G356" s="0" t="n">
        <v>0.4</v>
      </c>
      <c r="I356" s="0" t="n">
        <v>88.25</v>
      </c>
      <c r="J356" s="0" t="n">
        <v>1.9</v>
      </c>
      <c r="K356" s="0" t="n">
        <v>0.1</v>
      </c>
    </row>
    <row r="357" customFormat="false" ht="12.8" hidden="false" customHeight="false" outlineLevel="0" collapsed="false">
      <c r="E357" s="0" t="n">
        <v>354</v>
      </c>
      <c r="F357" s="0" t="n">
        <v>400.4</v>
      </c>
      <c r="G357" s="0" t="n">
        <v>0.4</v>
      </c>
      <c r="I357" s="0" t="n">
        <v>88.5</v>
      </c>
      <c r="J357" s="0" t="n">
        <v>1.9</v>
      </c>
      <c r="K357" s="0" t="n">
        <v>0.1</v>
      </c>
    </row>
    <row r="358" customFormat="false" ht="12.8" hidden="false" customHeight="false" outlineLevel="0" collapsed="false">
      <c r="E358" s="0" t="n">
        <v>355</v>
      </c>
      <c r="F358" s="0" t="n">
        <v>402.6</v>
      </c>
      <c r="G358" s="0" t="n">
        <v>2.1</v>
      </c>
      <c r="I358" s="0" t="n">
        <v>88.75</v>
      </c>
      <c r="J358" s="0" t="n">
        <v>1.9</v>
      </c>
      <c r="K358" s="0" t="n">
        <v>0.1</v>
      </c>
    </row>
    <row r="359" customFormat="false" ht="12.8" hidden="false" customHeight="false" outlineLevel="0" collapsed="false">
      <c r="E359" s="0" t="n">
        <v>356</v>
      </c>
      <c r="F359" s="0" t="n">
        <v>404.7</v>
      </c>
      <c r="G359" s="0" t="n">
        <v>2.1</v>
      </c>
      <c r="I359" s="0" t="n">
        <v>89</v>
      </c>
      <c r="J359" s="0" t="n">
        <v>1.9</v>
      </c>
      <c r="K359" s="0" t="n">
        <v>0.1</v>
      </c>
    </row>
    <row r="360" customFormat="false" ht="12.8" hidden="false" customHeight="false" outlineLevel="0" collapsed="false">
      <c r="E360" s="0" t="n">
        <v>357</v>
      </c>
      <c r="F360" s="0" t="n">
        <v>406.8</v>
      </c>
      <c r="G360" s="0" t="n">
        <v>2.1</v>
      </c>
      <c r="I360" s="0" t="n">
        <v>89.25</v>
      </c>
      <c r="J360" s="0" t="n">
        <v>1.9</v>
      </c>
      <c r="K360" s="0" t="n">
        <v>0.1</v>
      </c>
    </row>
    <row r="361" customFormat="false" ht="12.8" hidden="false" customHeight="false" outlineLevel="0" collapsed="false">
      <c r="E361" s="0" t="n">
        <v>358</v>
      </c>
      <c r="F361" s="0" t="n">
        <v>420.1</v>
      </c>
      <c r="G361" s="0" t="n">
        <v>13.3</v>
      </c>
      <c r="I361" s="0" t="n">
        <v>89.5</v>
      </c>
      <c r="J361" s="0" t="n">
        <v>2</v>
      </c>
      <c r="K361" s="0" t="n">
        <v>0.1</v>
      </c>
    </row>
    <row r="362" customFormat="false" ht="12.8" hidden="false" customHeight="false" outlineLevel="0" collapsed="false">
      <c r="E362" s="0" t="n">
        <v>359</v>
      </c>
      <c r="F362" s="0" t="n">
        <v>426.9</v>
      </c>
      <c r="G362" s="0" t="n">
        <v>6.8</v>
      </c>
      <c r="I362" s="0" t="n">
        <v>89.75</v>
      </c>
      <c r="J362" s="0" t="n">
        <v>2</v>
      </c>
      <c r="K362" s="0" t="n">
        <v>0.1</v>
      </c>
    </row>
    <row r="363" customFormat="false" ht="12.8" hidden="false" customHeight="false" outlineLevel="0" collapsed="false">
      <c r="E363" s="0" t="n">
        <v>360</v>
      </c>
      <c r="F363" s="0" t="n">
        <v>430.7</v>
      </c>
      <c r="G363" s="0" t="n">
        <v>3.8</v>
      </c>
      <c r="I363" s="0" t="n">
        <v>90</v>
      </c>
      <c r="J363" s="0" t="n">
        <v>2</v>
      </c>
      <c r="K363" s="0" t="n">
        <v>0.1</v>
      </c>
    </row>
    <row r="364" customFormat="false" ht="12.8" hidden="false" customHeight="false" outlineLevel="0" collapsed="false">
      <c r="E364" s="0" t="n">
        <v>361</v>
      </c>
      <c r="F364" s="0" t="n">
        <v>432.8</v>
      </c>
      <c r="G364" s="0" t="n">
        <v>2.1</v>
      </c>
      <c r="I364" s="0" t="n">
        <v>90.25</v>
      </c>
      <c r="J364" s="0" t="n">
        <v>2</v>
      </c>
      <c r="K364" s="0" t="n">
        <v>0.1</v>
      </c>
    </row>
    <row r="365" customFormat="false" ht="12.8" hidden="false" customHeight="false" outlineLevel="0" collapsed="false">
      <c r="E365" s="0" t="n">
        <v>362</v>
      </c>
      <c r="F365" s="0" t="n">
        <v>434.9</v>
      </c>
      <c r="G365" s="0" t="n">
        <v>2.1</v>
      </c>
      <c r="I365" s="0" t="n">
        <v>90.5</v>
      </c>
      <c r="J365" s="0" t="n">
        <v>2</v>
      </c>
      <c r="K365" s="0" t="n">
        <v>0.1</v>
      </c>
    </row>
    <row r="366" customFormat="false" ht="12.8" hidden="false" customHeight="false" outlineLevel="0" collapsed="false">
      <c r="E366" s="0" t="n">
        <v>363</v>
      </c>
      <c r="F366" s="0" t="n">
        <v>436.9</v>
      </c>
      <c r="G366" s="0" t="n">
        <v>2</v>
      </c>
      <c r="I366" s="0" t="n">
        <v>90.75</v>
      </c>
      <c r="J366" s="0" t="n">
        <v>2</v>
      </c>
      <c r="K366" s="0" t="n">
        <v>0.1</v>
      </c>
    </row>
    <row r="367" customFormat="false" ht="12.8" hidden="false" customHeight="false" outlineLevel="0" collapsed="false">
      <c r="E367" s="0" t="n">
        <v>364</v>
      </c>
      <c r="F367" s="0" t="n">
        <v>438.1</v>
      </c>
      <c r="G367" s="0" t="n">
        <v>1.2</v>
      </c>
      <c r="I367" s="0" t="n">
        <v>91</v>
      </c>
      <c r="J367" s="0" t="n">
        <v>2</v>
      </c>
      <c r="K367" s="0" t="n">
        <v>0.1</v>
      </c>
    </row>
    <row r="368" customFormat="false" ht="12.8" hidden="false" customHeight="false" outlineLevel="0" collapsed="false">
      <c r="E368" s="0" t="n">
        <v>365</v>
      </c>
      <c r="F368" s="0" t="n">
        <v>439.4</v>
      </c>
      <c r="G368" s="0" t="n">
        <v>1.2</v>
      </c>
      <c r="I368" s="0" t="n">
        <v>91.25</v>
      </c>
      <c r="J368" s="0" t="n">
        <v>2.1</v>
      </c>
      <c r="K368" s="0" t="n">
        <v>0.2</v>
      </c>
    </row>
    <row r="369" customFormat="false" ht="12.8" hidden="false" customHeight="false" outlineLevel="0" collapsed="false">
      <c r="E369" s="0" t="n">
        <v>366</v>
      </c>
      <c r="F369" s="0" t="n">
        <v>440.6</v>
      </c>
      <c r="G369" s="0" t="n">
        <v>1.2</v>
      </c>
      <c r="I369" s="0" t="n">
        <v>91.5</v>
      </c>
      <c r="J369" s="0" t="n">
        <v>2.2</v>
      </c>
      <c r="K369" s="0" t="n">
        <v>0.6</v>
      </c>
    </row>
    <row r="370" customFormat="false" ht="12.8" hidden="false" customHeight="false" outlineLevel="0" collapsed="false">
      <c r="E370" s="0" t="n">
        <v>367</v>
      </c>
      <c r="F370" s="0" t="n">
        <v>441.8</v>
      </c>
      <c r="G370" s="0" t="n">
        <v>1.2</v>
      </c>
      <c r="I370" s="0" t="n">
        <v>91.75</v>
      </c>
      <c r="J370" s="0" t="n">
        <v>2.4</v>
      </c>
      <c r="K370" s="0" t="n">
        <v>0.6</v>
      </c>
    </row>
    <row r="371" customFormat="false" ht="12.8" hidden="false" customHeight="false" outlineLevel="0" collapsed="false">
      <c r="E371" s="0" t="n">
        <v>368</v>
      </c>
      <c r="F371" s="0" t="n">
        <v>443</v>
      </c>
      <c r="G371" s="0" t="n">
        <v>1.2</v>
      </c>
      <c r="I371" s="0" t="n">
        <v>92</v>
      </c>
      <c r="J371" s="0" t="n">
        <v>2.5</v>
      </c>
      <c r="K371" s="0" t="n">
        <v>0.6</v>
      </c>
    </row>
    <row r="372" customFormat="false" ht="12.8" hidden="false" customHeight="false" outlineLevel="0" collapsed="false">
      <c r="E372" s="0" t="n">
        <v>369</v>
      </c>
      <c r="F372" s="0" t="n">
        <v>444.2</v>
      </c>
      <c r="G372" s="0" t="n">
        <v>1.2</v>
      </c>
      <c r="I372" s="0" t="n">
        <v>92.25</v>
      </c>
      <c r="J372" s="0" t="n">
        <v>2.7</v>
      </c>
      <c r="K372" s="0" t="n">
        <v>0.6</v>
      </c>
    </row>
    <row r="373" customFormat="false" ht="12.8" hidden="false" customHeight="false" outlineLevel="0" collapsed="false">
      <c r="E373" s="0" t="n">
        <v>370</v>
      </c>
      <c r="F373" s="0" t="n">
        <v>445.3</v>
      </c>
      <c r="G373" s="0" t="n">
        <v>1.1</v>
      </c>
      <c r="I373" s="0" t="n">
        <v>92.5</v>
      </c>
      <c r="J373" s="0" t="n">
        <v>2.8</v>
      </c>
      <c r="K373" s="0" t="n">
        <v>0.6</v>
      </c>
    </row>
    <row r="374" customFormat="false" ht="12.8" hidden="false" customHeight="false" outlineLevel="0" collapsed="false">
      <c r="E374" s="0" t="n">
        <v>371</v>
      </c>
      <c r="F374" s="0" t="n">
        <v>446.4</v>
      </c>
      <c r="G374" s="0" t="n">
        <v>1.1</v>
      </c>
      <c r="I374" s="0" t="n">
        <v>92.75</v>
      </c>
      <c r="J374" s="0" t="n">
        <v>3</v>
      </c>
      <c r="K374" s="0" t="n">
        <v>0.6</v>
      </c>
    </row>
    <row r="375" customFormat="false" ht="12.8" hidden="false" customHeight="false" outlineLevel="0" collapsed="false">
      <c r="E375" s="0" t="n">
        <v>372</v>
      </c>
      <c r="F375" s="0" t="n">
        <v>447.6</v>
      </c>
      <c r="G375" s="0" t="n">
        <v>1.1</v>
      </c>
      <c r="I375" s="0" t="n">
        <v>93</v>
      </c>
      <c r="J375" s="0" t="n">
        <v>3.1</v>
      </c>
      <c r="K375" s="0" t="n">
        <v>0.6</v>
      </c>
    </row>
    <row r="376" customFormat="false" ht="12.8" hidden="false" customHeight="false" outlineLevel="0" collapsed="false">
      <c r="E376" s="0" t="n">
        <v>373</v>
      </c>
      <c r="F376" s="0" t="n">
        <v>448.7</v>
      </c>
      <c r="G376" s="0" t="n">
        <v>1.1</v>
      </c>
      <c r="I376" s="0" t="n">
        <v>93.25</v>
      </c>
      <c r="J376" s="0" t="n">
        <v>3.3</v>
      </c>
      <c r="K376" s="0" t="n">
        <v>0.6</v>
      </c>
    </row>
    <row r="377" customFormat="false" ht="12.8" hidden="false" customHeight="false" outlineLevel="0" collapsed="false">
      <c r="E377" s="0" t="n">
        <v>374</v>
      </c>
      <c r="F377" s="0" t="n">
        <v>449.8</v>
      </c>
      <c r="G377" s="0" t="n">
        <v>1.1</v>
      </c>
      <c r="I377" s="0" t="n">
        <v>93.5</v>
      </c>
      <c r="J377" s="0" t="n">
        <v>5.1</v>
      </c>
      <c r="K377" s="0" t="n">
        <v>7.2</v>
      </c>
    </row>
    <row r="378" customFormat="false" ht="12.8" hidden="false" customHeight="false" outlineLevel="0" collapsed="false">
      <c r="E378" s="0" t="n">
        <v>375</v>
      </c>
      <c r="F378" s="0" t="n">
        <v>450.9</v>
      </c>
      <c r="G378" s="0" t="n">
        <v>1.1</v>
      </c>
      <c r="I378" s="0" t="n">
        <v>93.75</v>
      </c>
      <c r="J378" s="0" t="n">
        <v>5.3</v>
      </c>
      <c r="K378" s="0" t="n">
        <v>1.1</v>
      </c>
    </row>
    <row r="379" customFormat="false" ht="12.8" hidden="false" customHeight="false" outlineLevel="0" collapsed="false">
      <c r="E379" s="0" t="n">
        <v>376</v>
      </c>
      <c r="F379" s="0" t="n">
        <v>452.1</v>
      </c>
      <c r="G379" s="0" t="n">
        <v>1.3</v>
      </c>
      <c r="I379" s="0" t="n">
        <v>94</v>
      </c>
      <c r="J379" s="0" t="n">
        <v>5.6</v>
      </c>
      <c r="K379" s="0" t="n">
        <v>1.1</v>
      </c>
    </row>
    <row r="380" customFormat="false" ht="12.8" hidden="false" customHeight="false" outlineLevel="0" collapsed="false">
      <c r="E380" s="0" t="n">
        <v>377</v>
      </c>
      <c r="F380" s="0" t="n">
        <v>453.5</v>
      </c>
      <c r="G380" s="0" t="n">
        <v>1.4</v>
      </c>
      <c r="I380" s="0" t="n">
        <v>94.25</v>
      </c>
      <c r="J380" s="0" t="n">
        <v>5.9</v>
      </c>
      <c r="K380" s="0" t="n">
        <v>1.1</v>
      </c>
    </row>
    <row r="381" customFormat="false" ht="12.8" hidden="false" customHeight="false" outlineLevel="0" collapsed="false">
      <c r="E381" s="0" t="n">
        <v>378</v>
      </c>
      <c r="F381" s="0" t="n">
        <v>454.9</v>
      </c>
      <c r="G381" s="0" t="n">
        <v>1.4</v>
      </c>
      <c r="I381" s="0" t="n">
        <v>94.5</v>
      </c>
      <c r="J381" s="0" t="n">
        <v>6.1</v>
      </c>
      <c r="K381" s="0" t="n">
        <v>1.1</v>
      </c>
    </row>
    <row r="382" customFormat="false" ht="12.8" hidden="false" customHeight="false" outlineLevel="0" collapsed="false">
      <c r="E382" s="0" t="n">
        <v>379</v>
      </c>
      <c r="F382" s="0" t="n">
        <v>456.3</v>
      </c>
      <c r="G382" s="0" t="n">
        <v>1.4</v>
      </c>
      <c r="I382" s="0" t="n">
        <v>94.75</v>
      </c>
      <c r="J382" s="0" t="n">
        <v>6.4</v>
      </c>
      <c r="K382" s="0" t="n">
        <v>1.1</v>
      </c>
    </row>
    <row r="383" customFormat="false" ht="12.8" hidden="false" customHeight="false" outlineLevel="0" collapsed="false">
      <c r="E383" s="0" t="n">
        <v>380</v>
      </c>
      <c r="F383" s="0" t="n">
        <v>457.7</v>
      </c>
      <c r="G383" s="0" t="n">
        <v>1.4</v>
      </c>
      <c r="I383" s="0" t="n">
        <v>95</v>
      </c>
      <c r="J383" s="0" t="n">
        <v>6.7</v>
      </c>
      <c r="K383" s="0" t="n">
        <v>1.1</v>
      </c>
    </row>
    <row r="384" customFormat="false" ht="12.8" hidden="false" customHeight="false" outlineLevel="0" collapsed="false">
      <c r="E384" s="0" t="n">
        <v>381</v>
      </c>
      <c r="F384" s="0" t="n">
        <v>461.2</v>
      </c>
      <c r="G384" s="0" t="n">
        <v>3.6</v>
      </c>
      <c r="I384" s="0" t="n">
        <v>95.25</v>
      </c>
      <c r="J384" s="0" t="n">
        <v>9</v>
      </c>
      <c r="K384" s="0" t="n">
        <v>9.3</v>
      </c>
    </row>
    <row r="385" customFormat="false" ht="12.8" hidden="false" customHeight="false" outlineLevel="0" collapsed="false">
      <c r="E385" s="0" t="n">
        <v>382</v>
      </c>
      <c r="F385" s="0" t="n">
        <v>471.3</v>
      </c>
      <c r="G385" s="0" t="n">
        <v>10.1</v>
      </c>
      <c r="I385" s="0" t="n">
        <v>95.5</v>
      </c>
      <c r="J385" s="0" t="n">
        <v>9</v>
      </c>
      <c r="K385" s="0" t="n">
        <v>0.1</v>
      </c>
    </row>
    <row r="386" customFormat="false" ht="12.8" hidden="false" customHeight="false" outlineLevel="0" collapsed="false">
      <c r="E386" s="0" t="n">
        <v>383</v>
      </c>
      <c r="F386" s="0" t="n">
        <v>475.6</v>
      </c>
      <c r="G386" s="0" t="n">
        <v>4.3</v>
      </c>
      <c r="I386" s="0" t="n">
        <v>95.75</v>
      </c>
      <c r="J386" s="0" t="n">
        <v>9</v>
      </c>
      <c r="K386" s="0" t="n">
        <v>0.1</v>
      </c>
    </row>
    <row r="387" customFormat="false" ht="12.8" hidden="false" customHeight="false" outlineLevel="0" collapsed="false">
      <c r="E387" s="0" t="n">
        <v>384</v>
      </c>
      <c r="F387" s="0" t="n">
        <v>478.4</v>
      </c>
      <c r="G387" s="0" t="n">
        <v>2.8</v>
      </c>
      <c r="I387" s="0" t="n">
        <v>96</v>
      </c>
      <c r="J387" s="0" t="n">
        <v>9.1</v>
      </c>
      <c r="K387" s="0" t="n">
        <v>0.1</v>
      </c>
    </row>
    <row r="388" customFormat="false" ht="12.8" hidden="false" customHeight="false" outlineLevel="0" collapsed="false">
      <c r="E388" s="0" t="n">
        <v>385</v>
      </c>
      <c r="F388" s="0" t="n">
        <v>481</v>
      </c>
      <c r="G388" s="0" t="n">
        <v>2.6</v>
      </c>
      <c r="I388" s="0" t="n">
        <v>96.25</v>
      </c>
      <c r="J388" s="0" t="n">
        <v>9.1</v>
      </c>
      <c r="K388" s="0" t="n">
        <v>0.1</v>
      </c>
    </row>
    <row r="389" customFormat="false" ht="12.8" hidden="false" customHeight="false" outlineLevel="0" collapsed="false">
      <c r="E389" s="0" t="n">
        <v>386</v>
      </c>
      <c r="F389" s="0" t="n">
        <v>482.2</v>
      </c>
      <c r="G389" s="0" t="n">
        <v>1.2</v>
      </c>
      <c r="I389" s="0" t="n">
        <v>96.5</v>
      </c>
      <c r="J389" s="0" t="n">
        <v>9.1</v>
      </c>
      <c r="K389" s="0" t="n">
        <v>0.1</v>
      </c>
    </row>
    <row r="390" customFormat="false" ht="12.8" hidden="false" customHeight="false" outlineLevel="0" collapsed="false">
      <c r="E390" s="0" t="n">
        <v>387</v>
      </c>
      <c r="F390" s="0" t="n">
        <v>483.4</v>
      </c>
      <c r="G390" s="0" t="n">
        <v>1.2</v>
      </c>
      <c r="I390" s="0" t="n">
        <v>96.75</v>
      </c>
      <c r="J390" s="0" t="n">
        <v>9.1</v>
      </c>
      <c r="K390" s="0" t="n">
        <v>0.1</v>
      </c>
    </row>
    <row r="391" customFormat="false" ht="12.8" hidden="false" customHeight="false" outlineLevel="0" collapsed="false">
      <c r="E391" s="0" t="n">
        <v>388</v>
      </c>
      <c r="F391" s="0" t="n">
        <v>484.6</v>
      </c>
      <c r="G391" s="0" t="n">
        <v>1.2</v>
      </c>
      <c r="I391" s="0" t="n">
        <v>97</v>
      </c>
      <c r="J391" s="0" t="n">
        <v>9.2</v>
      </c>
      <c r="K391" s="0" t="n">
        <v>0.1</v>
      </c>
    </row>
    <row r="392" customFormat="false" ht="12.8" hidden="false" customHeight="false" outlineLevel="0" collapsed="false">
      <c r="E392" s="0" t="n">
        <v>389</v>
      </c>
      <c r="F392" s="0" t="n">
        <v>485.8</v>
      </c>
      <c r="G392" s="0" t="n">
        <v>1.2</v>
      </c>
      <c r="I392" s="0" t="n">
        <v>97.25</v>
      </c>
      <c r="J392" s="0" t="n">
        <v>9.2</v>
      </c>
      <c r="K392" s="0" t="n">
        <v>0.1</v>
      </c>
    </row>
    <row r="393" customFormat="false" ht="12.8" hidden="false" customHeight="false" outlineLevel="0" collapsed="false">
      <c r="E393" s="0" t="n">
        <v>390</v>
      </c>
      <c r="F393" s="0" t="n">
        <v>487</v>
      </c>
      <c r="G393" s="0" t="n">
        <v>1.2</v>
      </c>
      <c r="I393" s="0" t="n">
        <v>97.5</v>
      </c>
      <c r="J393" s="0" t="n">
        <v>9.2</v>
      </c>
      <c r="K393" s="0" t="n">
        <v>0.1</v>
      </c>
    </row>
    <row r="394" customFormat="false" ht="12.8" hidden="false" customHeight="false" outlineLevel="0" collapsed="false">
      <c r="E394" s="0" t="n">
        <v>391</v>
      </c>
      <c r="F394" s="0" t="n">
        <v>488.2</v>
      </c>
      <c r="G394" s="0" t="n">
        <v>1.2</v>
      </c>
      <c r="I394" s="0" t="n">
        <v>97.75</v>
      </c>
      <c r="J394" s="0" t="n">
        <v>9.2</v>
      </c>
      <c r="K394" s="0" t="n">
        <v>0.1</v>
      </c>
    </row>
    <row r="395" customFormat="false" ht="12.8" hidden="false" customHeight="false" outlineLevel="0" collapsed="false">
      <c r="E395" s="0" t="n">
        <v>392</v>
      </c>
      <c r="F395" s="0" t="n">
        <v>489.3</v>
      </c>
      <c r="G395" s="0" t="n">
        <v>1.1</v>
      </c>
      <c r="I395" s="0" t="n">
        <v>98</v>
      </c>
      <c r="J395" s="0" t="n">
        <v>9.3</v>
      </c>
      <c r="K395" s="0" t="n">
        <v>0.1</v>
      </c>
    </row>
    <row r="396" customFormat="false" ht="12.8" hidden="false" customHeight="false" outlineLevel="0" collapsed="false">
      <c r="E396" s="0" t="n">
        <v>393</v>
      </c>
      <c r="F396" s="0" t="n">
        <v>490.3</v>
      </c>
      <c r="G396" s="0" t="n">
        <v>1.1</v>
      </c>
      <c r="I396" s="0" t="n">
        <v>98.25</v>
      </c>
      <c r="J396" s="0" t="n">
        <v>9.3</v>
      </c>
      <c r="K396" s="0" t="n">
        <v>0.1</v>
      </c>
    </row>
    <row r="397" customFormat="false" ht="12.8" hidden="false" customHeight="false" outlineLevel="0" collapsed="false">
      <c r="E397" s="0" t="n">
        <v>394</v>
      </c>
      <c r="F397" s="0" t="n">
        <v>491.4</v>
      </c>
      <c r="G397" s="0" t="n">
        <v>1.1</v>
      </c>
      <c r="I397" s="0" t="n">
        <v>98.5</v>
      </c>
      <c r="J397" s="0" t="n">
        <v>9.3</v>
      </c>
      <c r="K397" s="0" t="n">
        <v>0.1</v>
      </c>
    </row>
    <row r="398" customFormat="false" ht="12.8" hidden="false" customHeight="false" outlineLevel="0" collapsed="false">
      <c r="E398" s="0" t="n">
        <v>395</v>
      </c>
      <c r="F398" s="0" t="n">
        <v>492.5</v>
      </c>
      <c r="G398" s="0" t="n">
        <v>1.1</v>
      </c>
      <c r="I398" s="0" t="n">
        <v>98.75</v>
      </c>
      <c r="J398" s="0" t="n">
        <v>9.3</v>
      </c>
      <c r="K398" s="0" t="n">
        <v>0.1</v>
      </c>
    </row>
    <row r="399" customFormat="false" ht="12.8" hidden="false" customHeight="false" outlineLevel="0" collapsed="false">
      <c r="E399" s="0" t="n">
        <v>396</v>
      </c>
      <c r="F399" s="0" t="n">
        <v>493.6</v>
      </c>
      <c r="G399" s="0" t="n">
        <v>1.1</v>
      </c>
      <c r="I399" s="0" t="n">
        <v>99</v>
      </c>
      <c r="J399" s="0" t="n">
        <v>9.4</v>
      </c>
      <c r="K399" s="0" t="n">
        <v>0.1</v>
      </c>
    </row>
    <row r="400" customFormat="false" ht="12.8" hidden="false" customHeight="false" outlineLevel="0" collapsed="false">
      <c r="E400" s="0" t="n">
        <v>397</v>
      </c>
      <c r="F400" s="0" t="n">
        <v>494.7</v>
      </c>
      <c r="G400" s="0" t="n">
        <v>1.1</v>
      </c>
      <c r="I400" s="0" t="n">
        <v>99.25</v>
      </c>
      <c r="J400" s="0" t="n">
        <v>9.4</v>
      </c>
      <c r="K400" s="0" t="n">
        <v>0.1</v>
      </c>
    </row>
    <row r="401" customFormat="false" ht="12.8" hidden="false" customHeight="false" outlineLevel="0" collapsed="false">
      <c r="E401" s="0" t="n">
        <v>398</v>
      </c>
      <c r="F401" s="0" t="n">
        <v>495.8</v>
      </c>
      <c r="G401" s="0" t="n">
        <v>1.1</v>
      </c>
      <c r="I401" s="0" t="n">
        <v>99.5</v>
      </c>
      <c r="J401" s="0" t="n">
        <v>9.4</v>
      </c>
      <c r="K401" s="0" t="n">
        <v>0.1</v>
      </c>
    </row>
    <row r="402" customFormat="false" ht="12.8" hidden="false" customHeight="false" outlineLevel="0" collapsed="false">
      <c r="E402" s="0" t="n">
        <v>399</v>
      </c>
      <c r="F402" s="0" t="n">
        <v>497</v>
      </c>
      <c r="G402" s="0" t="n">
        <v>1.2</v>
      </c>
      <c r="I402" s="0" t="n">
        <v>99.75</v>
      </c>
      <c r="J402" s="0" t="n">
        <v>9.4</v>
      </c>
      <c r="K402" s="0" t="n">
        <v>0.1</v>
      </c>
    </row>
    <row r="403" customFormat="false" ht="12.8" hidden="false" customHeight="false" outlineLevel="0" collapsed="false">
      <c r="E403" s="0" t="n">
        <v>400</v>
      </c>
      <c r="F403" s="0" t="n">
        <v>498.3</v>
      </c>
      <c r="G403" s="0" t="n">
        <v>1.2</v>
      </c>
      <c r="I403" s="0" t="n">
        <v>100</v>
      </c>
      <c r="J403" s="0" t="n">
        <v>9.5</v>
      </c>
      <c r="K403" s="0" t="n">
        <v>0.1</v>
      </c>
    </row>
    <row r="404" customFormat="false" ht="12.8" hidden="false" customHeight="false" outlineLevel="0" collapsed="false">
      <c r="E404" s="0" t="n">
        <v>401</v>
      </c>
      <c r="F404" s="0" t="n">
        <v>499.5</v>
      </c>
      <c r="G404" s="0" t="n">
        <v>1.2</v>
      </c>
      <c r="I404" s="0" t="n">
        <v>100.25</v>
      </c>
      <c r="J404" s="0" t="n">
        <v>9.5</v>
      </c>
      <c r="K404" s="0" t="n">
        <v>0.1</v>
      </c>
    </row>
    <row r="405" customFormat="false" ht="12.8" hidden="false" customHeight="false" outlineLevel="0" collapsed="false">
      <c r="E405" s="0" t="n">
        <v>402</v>
      </c>
      <c r="F405" s="0" t="n">
        <v>500.7</v>
      </c>
      <c r="G405" s="0" t="n">
        <v>1.2</v>
      </c>
      <c r="I405" s="0" t="n">
        <v>100.5</v>
      </c>
      <c r="J405" s="0" t="n">
        <v>9.5</v>
      </c>
      <c r="K405" s="0" t="n">
        <v>0.1</v>
      </c>
    </row>
    <row r="406" customFormat="false" ht="12.8" hidden="false" customHeight="false" outlineLevel="0" collapsed="false">
      <c r="E406" s="0" t="n">
        <v>403</v>
      </c>
      <c r="F406" s="0" t="n">
        <v>502</v>
      </c>
      <c r="G406" s="0" t="n">
        <v>1.2</v>
      </c>
      <c r="I406" s="0" t="n">
        <v>100.75</v>
      </c>
      <c r="J406" s="0" t="n">
        <v>9.5</v>
      </c>
      <c r="K406" s="0" t="n">
        <v>0.1</v>
      </c>
    </row>
    <row r="407" customFormat="false" ht="12.8" hidden="false" customHeight="false" outlineLevel="0" collapsed="false">
      <c r="E407" s="0" t="n">
        <v>404</v>
      </c>
      <c r="F407" s="0" t="n">
        <v>504</v>
      </c>
      <c r="G407" s="0" t="n">
        <v>2</v>
      </c>
      <c r="I407" s="0" t="n">
        <v>101</v>
      </c>
      <c r="J407" s="0" t="n">
        <v>9.6</v>
      </c>
      <c r="K407" s="0" t="n">
        <v>0.1</v>
      </c>
    </row>
    <row r="408" customFormat="false" ht="12.8" hidden="false" customHeight="false" outlineLevel="0" collapsed="false">
      <c r="E408" s="0" t="n">
        <v>405</v>
      </c>
      <c r="F408" s="0" t="n">
        <v>508.5</v>
      </c>
      <c r="G408" s="0" t="n">
        <v>4.6</v>
      </c>
      <c r="I408" s="0" t="n">
        <v>101.25</v>
      </c>
      <c r="J408" s="0" t="n">
        <v>9.6</v>
      </c>
      <c r="K408" s="0" t="n">
        <v>0.1</v>
      </c>
    </row>
    <row r="409" customFormat="false" ht="12.8" hidden="false" customHeight="false" outlineLevel="0" collapsed="false">
      <c r="E409" s="0" t="n">
        <v>406</v>
      </c>
      <c r="F409" s="0" t="n">
        <v>518</v>
      </c>
      <c r="G409" s="0" t="n">
        <v>9.4</v>
      </c>
      <c r="I409" s="0" t="n">
        <v>101.5</v>
      </c>
      <c r="J409" s="0" t="n">
        <v>9.6</v>
      </c>
      <c r="K409" s="0" t="n">
        <v>0.1</v>
      </c>
    </row>
    <row r="410" customFormat="false" ht="12.8" hidden="false" customHeight="false" outlineLevel="0" collapsed="false">
      <c r="E410" s="0" t="n">
        <v>407</v>
      </c>
      <c r="F410" s="0" t="n">
        <v>520.4</v>
      </c>
      <c r="G410" s="0" t="n">
        <v>2.5</v>
      </c>
      <c r="I410" s="0" t="n">
        <v>101.75</v>
      </c>
      <c r="J410" s="0" t="n">
        <v>9.6</v>
      </c>
      <c r="K410" s="0" t="n">
        <v>0.1</v>
      </c>
    </row>
    <row r="411" customFormat="false" ht="12.8" hidden="false" customHeight="false" outlineLevel="0" collapsed="false">
      <c r="E411" s="0" t="n">
        <v>408</v>
      </c>
      <c r="F411" s="0" t="n">
        <v>522.9</v>
      </c>
      <c r="G411" s="0" t="n">
        <v>2.5</v>
      </c>
      <c r="I411" s="0" t="n">
        <v>102</v>
      </c>
      <c r="J411" s="0" t="n">
        <v>9.7</v>
      </c>
      <c r="K411" s="0" t="n">
        <v>0.1</v>
      </c>
    </row>
    <row r="412" customFormat="false" ht="12.8" hidden="false" customHeight="false" outlineLevel="0" collapsed="false">
      <c r="E412" s="0" t="n">
        <v>409</v>
      </c>
      <c r="F412" s="0" t="n">
        <v>525.3</v>
      </c>
      <c r="G412" s="0" t="n">
        <v>2.4</v>
      </c>
      <c r="I412" s="0" t="n">
        <v>102.25</v>
      </c>
      <c r="J412" s="0" t="n">
        <v>9.7</v>
      </c>
      <c r="K412" s="0" t="n">
        <v>0.1</v>
      </c>
    </row>
    <row r="413" customFormat="false" ht="12.8" hidden="false" customHeight="false" outlineLevel="0" collapsed="false">
      <c r="E413" s="0" t="n">
        <v>410</v>
      </c>
      <c r="F413" s="0" t="n">
        <v>526.8</v>
      </c>
      <c r="G413" s="0" t="n">
        <v>1.5</v>
      </c>
      <c r="I413" s="0" t="n">
        <v>102.5</v>
      </c>
      <c r="J413" s="0" t="n">
        <v>9.7</v>
      </c>
      <c r="K413" s="0" t="n">
        <v>0.1</v>
      </c>
    </row>
    <row r="414" customFormat="false" ht="12.8" hidden="false" customHeight="false" outlineLevel="0" collapsed="false">
      <c r="E414" s="0" t="n">
        <v>411</v>
      </c>
      <c r="F414" s="0" t="n">
        <v>528.3</v>
      </c>
      <c r="G414" s="0" t="n">
        <v>1.5</v>
      </c>
      <c r="I414" s="0" t="n">
        <v>102.75</v>
      </c>
      <c r="J414" s="0" t="n">
        <v>9.7</v>
      </c>
      <c r="K414" s="0" t="n">
        <v>0.1</v>
      </c>
    </row>
    <row r="415" customFormat="false" ht="12.8" hidden="false" customHeight="false" outlineLevel="0" collapsed="false">
      <c r="E415" s="0" t="n">
        <v>412</v>
      </c>
      <c r="F415" s="0" t="n">
        <v>529.8</v>
      </c>
      <c r="G415" s="0" t="n">
        <v>1.5</v>
      </c>
      <c r="I415" s="0" t="n">
        <v>103</v>
      </c>
      <c r="J415" s="0" t="n">
        <v>9.8</v>
      </c>
      <c r="K415" s="0" t="n">
        <v>0.1</v>
      </c>
    </row>
    <row r="416" customFormat="false" ht="12.8" hidden="false" customHeight="false" outlineLevel="0" collapsed="false">
      <c r="E416" s="0" t="n">
        <v>413</v>
      </c>
      <c r="F416" s="0" t="n">
        <v>531.3</v>
      </c>
      <c r="G416" s="0" t="n">
        <v>1.5</v>
      </c>
      <c r="I416" s="0" t="n">
        <v>103.25</v>
      </c>
      <c r="J416" s="0" t="n">
        <v>9.8</v>
      </c>
      <c r="K416" s="0" t="n">
        <v>0.1</v>
      </c>
    </row>
    <row r="417" customFormat="false" ht="12.8" hidden="false" customHeight="false" outlineLevel="0" collapsed="false">
      <c r="E417" s="0" t="n">
        <v>414</v>
      </c>
      <c r="F417" s="0" t="n">
        <v>532.7</v>
      </c>
      <c r="G417" s="0" t="n">
        <v>1.4</v>
      </c>
      <c r="I417" s="0" t="n">
        <v>103.5</v>
      </c>
      <c r="J417" s="0" t="n">
        <v>9.8</v>
      </c>
      <c r="K417" s="0" t="n">
        <v>0.1</v>
      </c>
    </row>
    <row r="418" customFormat="false" ht="12.8" hidden="false" customHeight="false" outlineLevel="0" collapsed="false">
      <c r="E418" s="0" t="n">
        <v>415</v>
      </c>
      <c r="F418" s="0" t="n">
        <v>533.6</v>
      </c>
      <c r="G418" s="0" t="n">
        <v>0.9</v>
      </c>
      <c r="I418" s="0" t="n">
        <v>103.75</v>
      </c>
      <c r="J418" s="0" t="n">
        <v>9.8</v>
      </c>
      <c r="K418" s="0" t="n">
        <v>0.1</v>
      </c>
    </row>
    <row r="419" customFormat="false" ht="12.8" hidden="false" customHeight="false" outlineLevel="0" collapsed="false">
      <c r="E419" s="0" t="n">
        <v>416</v>
      </c>
      <c r="F419" s="0" t="n">
        <v>534.5</v>
      </c>
      <c r="G419" s="0" t="n">
        <v>0.9</v>
      </c>
      <c r="I419" s="0" t="n">
        <v>104</v>
      </c>
      <c r="J419" s="0" t="n">
        <v>9.9</v>
      </c>
      <c r="K419" s="0" t="n">
        <v>0.1</v>
      </c>
    </row>
    <row r="420" customFormat="false" ht="12.8" hidden="false" customHeight="false" outlineLevel="0" collapsed="false">
      <c r="E420" s="0" t="n">
        <v>417</v>
      </c>
      <c r="F420" s="0" t="n">
        <v>535.4</v>
      </c>
      <c r="G420" s="0" t="n">
        <v>0.9</v>
      </c>
      <c r="I420" s="0" t="n">
        <v>104.25</v>
      </c>
      <c r="J420" s="0" t="n">
        <v>9.9</v>
      </c>
      <c r="K420" s="0" t="n">
        <v>0.1</v>
      </c>
    </row>
    <row r="421" customFormat="false" ht="12.8" hidden="false" customHeight="false" outlineLevel="0" collapsed="false">
      <c r="E421" s="0" t="n">
        <v>418</v>
      </c>
      <c r="F421" s="0" t="n">
        <v>536.4</v>
      </c>
      <c r="G421" s="0" t="n">
        <v>0.9</v>
      </c>
      <c r="I421" s="0" t="n">
        <v>104.5</v>
      </c>
      <c r="J421" s="0" t="n">
        <v>9.9</v>
      </c>
      <c r="K421" s="0" t="n">
        <v>0.1</v>
      </c>
    </row>
    <row r="422" customFormat="false" ht="12.8" hidden="false" customHeight="false" outlineLevel="0" collapsed="false">
      <c r="E422" s="0" t="n">
        <v>419</v>
      </c>
      <c r="F422" s="0" t="n">
        <v>537.3</v>
      </c>
      <c r="G422" s="0" t="n">
        <v>0.9</v>
      </c>
      <c r="I422" s="0" t="n">
        <v>104.75</v>
      </c>
      <c r="J422" s="0" t="n">
        <v>9.9</v>
      </c>
      <c r="K422" s="0" t="n">
        <v>0.1</v>
      </c>
    </row>
    <row r="423" customFormat="false" ht="12.8" hidden="false" customHeight="false" outlineLevel="0" collapsed="false">
      <c r="E423" s="0" t="n">
        <v>420</v>
      </c>
      <c r="F423" s="0" t="n">
        <v>538.2</v>
      </c>
      <c r="G423" s="0" t="n">
        <v>0.9</v>
      </c>
      <c r="I423" s="0" t="n">
        <v>105</v>
      </c>
      <c r="J423" s="0" t="n">
        <v>10</v>
      </c>
      <c r="K423" s="0" t="n">
        <v>0.1</v>
      </c>
    </row>
    <row r="424" customFormat="false" ht="12.8" hidden="false" customHeight="false" outlineLevel="0" collapsed="false">
      <c r="E424" s="0" t="n">
        <v>421</v>
      </c>
      <c r="F424" s="0" t="n">
        <v>539.1</v>
      </c>
      <c r="G424" s="0" t="n">
        <v>0.9</v>
      </c>
      <c r="I424" s="0" t="n">
        <v>105.25</v>
      </c>
      <c r="J424" s="0" t="n">
        <v>10</v>
      </c>
      <c r="K424" s="0" t="n">
        <v>0.1</v>
      </c>
    </row>
    <row r="425" customFormat="false" ht="12.8" hidden="false" customHeight="false" outlineLevel="0" collapsed="false">
      <c r="E425" s="0" t="n">
        <v>422</v>
      </c>
      <c r="F425" s="0" t="n">
        <v>540.1</v>
      </c>
      <c r="G425" s="0" t="n">
        <v>0.9</v>
      </c>
      <c r="I425" s="0" t="n">
        <v>105.5</v>
      </c>
      <c r="J425" s="0" t="n">
        <v>10</v>
      </c>
      <c r="K425" s="0" t="n">
        <v>0.1</v>
      </c>
    </row>
    <row r="426" customFormat="false" ht="12.8" hidden="false" customHeight="false" outlineLevel="0" collapsed="false">
      <c r="E426" s="0" t="n">
        <v>423</v>
      </c>
      <c r="F426" s="0" t="n">
        <v>541.5</v>
      </c>
      <c r="G426" s="0" t="n">
        <v>1.4</v>
      </c>
      <c r="I426" s="0" t="n">
        <v>105.75</v>
      </c>
      <c r="J426" s="0" t="n">
        <v>10</v>
      </c>
      <c r="K426" s="0" t="n">
        <v>0.1</v>
      </c>
    </row>
    <row r="427" customFormat="false" ht="12.8" hidden="false" customHeight="false" outlineLevel="0" collapsed="false">
      <c r="E427" s="0" t="n">
        <v>424</v>
      </c>
      <c r="F427" s="0" t="n">
        <v>542.9</v>
      </c>
      <c r="G427" s="0" t="n">
        <v>1.4</v>
      </c>
      <c r="I427" s="0" t="n">
        <v>106</v>
      </c>
      <c r="J427" s="0" t="n">
        <v>10.1</v>
      </c>
      <c r="K427" s="0" t="n">
        <v>0.1</v>
      </c>
    </row>
    <row r="428" customFormat="false" ht="12.8" hidden="false" customHeight="false" outlineLevel="0" collapsed="false">
      <c r="E428" s="0" t="n">
        <v>425</v>
      </c>
      <c r="F428" s="0" t="n">
        <v>544.3</v>
      </c>
      <c r="G428" s="0" t="n">
        <v>1.4</v>
      </c>
      <c r="I428" s="0" t="n">
        <v>106.25</v>
      </c>
      <c r="J428" s="0" t="n">
        <v>10.1</v>
      </c>
      <c r="K428" s="0" t="n">
        <v>0.1</v>
      </c>
    </row>
    <row r="429" customFormat="false" ht="12.8" hidden="false" customHeight="false" outlineLevel="0" collapsed="false">
      <c r="E429" s="0" t="n">
        <v>426</v>
      </c>
      <c r="F429" s="0" t="n">
        <v>545.7</v>
      </c>
      <c r="G429" s="0" t="n">
        <v>1.4</v>
      </c>
      <c r="I429" s="0" t="n">
        <v>106.5</v>
      </c>
      <c r="J429" s="0" t="n">
        <v>10.1</v>
      </c>
      <c r="K429" s="0" t="n">
        <v>0.1</v>
      </c>
    </row>
    <row r="430" customFormat="false" ht="12.8" hidden="false" customHeight="false" outlineLevel="0" collapsed="false">
      <c r="E430" s="0" t="n">
        <v>427</v>
      </c>
      <c r="F430" s="0" t="n">
        <v>547.1</v>
      </c>
      <c r="G430" s="0" t="n">
        <v>1.4</v>
      </c>
      <c r="I430" s="0" t="n">
        <v>106.75</v>
      </c>
      <c r="J430" s="0" t="n">
        <v>10.1</v>
      </c>
      <c r="K430" s="0" t="n">
        <v>0.1</v>
      </c>
    </row>
    <row r="431" customFormat="false" ht="12.8" hidden="false" customHeight="false" outlineLevel="0" collapsed="false">
      <c r="E431" s="0" t="n">
        <v>428</v>
      </c>
      <c r="F431" s="0" t="n">
        <v>550</v>
      </c>
      <c r="G431" s="0" t="n">
        <v>2.9</v>
      </c>
      <c r="I431" s="0" t="n">
        <v>107</v>
      </c>
      <c r="J431" s="0" t="n">
        <v>10.2</v>
      </c>
      <c r="K431" s="0" t="n">
        <v>0.1</v>
      </c>
    </row>
    <row r="432" customFormat="false" ht="12.8" hidden="false" customHeight="false" outlineLevel="0" collapsed="false">
      <c r="E432" s="0" t="n">
        <v>429</v>
      </c>
      <c r="F432" s="0" t="n">
        <v>553.6</v>
      </c>
      <c r="G432" s="0" t="n">
        <v>3.6</v>
      </c>
      <c r="I432" s="0" t="n">
        <v>107.25</v>
      </c>
      <c r="J432" s="0" t="n">
        <v>10.2</v>
      </c>
      <c r="K432" s="0" t="n">
        <v>0.1</v>
      </c>
    </row>
    <row r="433" customFormat="false" ht="12.8" hidden="false" customHeight="false" outlineLevel="0" collapsed="false">
      <c r="E433" s="0" t="n">
        <v>430</v>
      </c>
      <c r="F433" s="0" t="n">
        <v>555</v>
      </c>
      <c r="G433" s="0" t="n">
        <v>3.6</v>
      </c>
      <c r="I433" s="0" t="n">
        <v>107.5</v>
      </c>
      <c r="J433" s="0" t="n">
        <v>10.2</v>
      </c>
      <c r="K433" s="0" t="n">
        <v>0.1</v>
      </c>
    </row>
    <row r="434" customFormat="false" ht="12.8" hidden="false" customHeight="false" outlineLevel="0" collapsed="false">
      <c r="I434" s="0" t="n">
        <v>107.75</v>
      </c>
      <c r="J434" s="0" t="n">
        <v>10.2</v>
      </c>
      <c r="K434" s="0" t="n">
        <v>0.1</v>
      </c>
    </row>
    <row r="435" customFormat="false" ht="12.8" hidden="false" customHeight="false" outlineLevel="0" collapsed="false">
      <c r="I435" s="0" t="n">
        <v>108</v>
      </c>
      <c r="J435" s="0" t="n">
        <v>10.3</v>
      </c>
      <c r="K435" s="0" t="n">
        <v>0.1</v>
      </c>
    </row>
    <row r="436" customFormat="false" ht="12.8" hidden="false" customHeight="false" outlineLevel="0" collapsed="false">
      <c r="I436" s="0" t="n">
        <v>108.25</v>
      </c>
      <c r="J436" s="0" t="n">
        <v>10.3</v>
      </c>
      <c r="K436" s="0" t="n">
        <v>0.1</v>
      </c>
    </row>
    <row r="437" customFormat="false" ht="12.8" hidden="false" customHeight="false" outlineLevel="0" collapsed="false">
      <c r="I437" s="0" t="n">
        <v>108.5</v>
      </c>
      <c r="J437" s="0" t="n">
        <v>10.3</v>
      </c>
      <c r="K437" s="0" t="n">
        <v>0.1</v>
      </c>
    </row>
    <row r="438" customFormat="false" ht="12.8" hidden="false" customHeight="false" outlineLevel="0" collapsed="false">
      <c r="I438" s="0" t="n">
        <v>108.75</v>
      </c>
      <c r="J438" s="0" t="n">
        <v>10.3</v>
      </c>
      <c r="K438" s="0" t="n">
        <v>0.1</v>
      </c>
    </row>
    <row r="439" customFormat="false" ht="12.8" hidden="false" customHeight="false" outlineLevel="0" collapsed="false">
      <c r="I439" s="0" t="n">
        <v>109</v>
      </c>
      <c r="J439" s="0" t="n">
        <v>10.4</v>
      </c>
      <c r="K439" s="0" t="n">
        <v>0.1</v>
      </c>
    </row>
    <row r="440" customFormat="false" ht="12.8" hidden="false" customHeight="false" outlineLevel="0" collapsed="false">
      <c r="I440" s="0" t="n">
        <v>109.25</v>
      </c>
      <c r="J440" s="0" t="n">
        <v>10.4</v>
      </c>
      <c r="K440" s="0" t="n">
        <v>0.1</v>
      </c>
    </row>
    <row r="441" customFormat="false" ht="12.8" hidden="false" customHeight="false" outlineLevel="0" collapsed="false">
      <c r="I441" s="0" t="n">
        <v>109.5</v>
      </c>
      <c r="J441" s="0" t="n">
        <v>10.4</v>
      </c>
      <c r="K441" s="0" t="n">
        <v>0.1</v>
      </c>
    </row>
    <row r="442" customFormat="false" ht="12.8" hidden="false" customHeight="false" outlineLevel="0" collapsed="false">
      <c r="I442" s="0" t="n">
        <v>109.75</v>
      </c>
      <c r="J442" s="0" t="n">
        <v>10.4</v>
      </c>
      <c r="K442" s="0" t="n">
        <v>0.1</v>
      </c>
    </row>
    <row r="443" customFormat="false" ht="12.8" hidden="false" customHeight="false" outlineLevel="0" collapsed="false">
      <c r="I443" s="0" t="n">
        <v>110</v>
      </c>
      <c r="J443" s="0" t="n">
        <v>10.5</v>
      </c>
      <c r="K443" s="0" t="n">
        <v>0.1</v>
      </c>
    </row>
    <row r="444" customFormat="false" ht="12.8" hidden="false" customHeight="false" outlineLevel="0" collapsed="false">
      <c r="I444" s="0" t="n">
        <v>110.25</v>
      </c>
      <c r="J444" s="0" t="n">
        <v>10.5</v>
      </c>
      <c r="K444" s="0" t="n">
        <v>0.1</v>
      </c>
    </row>
    <row r="445" customFormat="false" ht="12.8" hidden="false" customHeight="false" outlineLevel="0" collapsed="false">
      <c r="I445" s="0" t="n">
        <v>110.5</v>
      </c>
      <c r="J445" s="0" t="n">
        <v>10.5</v>
      </c>
      <c r="K445" s="0" t="n">
        <v>0.1</v>
      </c>
    </row>
    <row r="446" customFormat="false" ht="12.8" hidden="false" customHeight="false" outlineLevel="0" collapsed="false">
      <c r="I446" s="0" t="n">
        <v>110.75</v>
      </c>
      <c r="J446" s="0" t="n">
        <v>10.5</v>
      </c>
      <c r="K446" s="0" t="n">
        <v>0.1</v>
      </c>
    </row>
    <row r="447" customFormat="false" ht="12.8" hidden="false" customHeight="false" outlineLevel="0" collapsed="false">
      <c r="I447" s="0" t="n">
        <v>111</v>
      </c>
      <c r="J447" s="0" t="n">
        <v>10.6</v>
      </c>
      <c r="K447" s="0" t="n">
        <v>0.1</v>
      </c>
    </row>
    <row r="448" customFormat="false" ht="12.8" hidden="false" customHeight="false" outlineLevel="0" collapsed="false">
      <c r="I448" s="0" t="n">
        <v>111.25</v>
      </c>
      <c r="J448" s="0" t="n">
        <v>10.6</v>
      </c>
      <c r="K448" s="0" t="n">
        <v>0.1</v>
      </c>
    </row>
    <row r="449" customFormat="false" ht="12.8" hidden="false" customHeight="false" outlineLevel="0" collapsed="false">
      <c r="I449" s="0" t="n">
        <v>111.5</v>
      </c>
      <c r="J449" s="0" t="n">
        <v>10.6</v>
      </c>
      <c r="K449" s="0" t="n">
        <v>0.1</v>
      </c>
    </row>
    <row r="450" customFormat="false" ht="12.8" hidden="false" customHeight="false" outlineLevel="0" collapsed="false">
      <c r="I450" s="0" t="n">
        <v>111.75</v>
      </c>
      <c r="J450" s="0" t="n">
        <v>10.6</v>
      </c>
      <c r="K450" s="0" t="n">
        <v>0.1</v>
      </c>
    </row>
    <row r="451" customFormat="false" ht="12.8" hidden="false" customHeight="false" outlineLevel="0" collapsed="false">
      <c r="I451" s="0" t="n">
        <v>112</v>
      </c>
      <c r="J451" s="0" t="n">
        <v>10.7</v>
      </c>
      <c r="K451" s="0" t="n">
        <v>0.1</v>
      </c>
    </row>
    <row r="452" customFormat="false" ht="12.8" hidden="false" customHeight="false" outlineLevel="0" collapsed="false">
      <c r="I452" s="0" t="n">
        <v>112.25</v>
      </c>
      <c r="J452" s="0" t="n">
        <v>10.7</v>
      </c>
      <c r="K452" s="0" t="n">
        <v>0.1</v>
      </c>
    </row>
    <row r="453" customFormat="false" ht="12.8" hidden="false" customHeight="false" outlineLevel="0" collapsed="false">
      <c r="I453" s="0" t="n">
        <v>112.5</v>
      </c>
      <c r="J453" s="0" t="n">
        <v>10.7</v>
      </c>
      <c r="K453" s="0" t="n">
        <v>0.1</v>
      </c>
    </row>
    <row r="454" customFormat="false" ht="12.8" hidden="false" customHeight="false" outlineLevel="0" collapsed="false">
      <c r="I454" s="0" t="n">
        <v>112.75</v>
      </c>
      <c r="J454" s="0" t="n">
        <v>10.8</v>
      </c>
      <c r="K454" s="0" t="n">
        <v>0.1</v>
      </c>
    </row>
    <row r="455" customFormat="false" ht="12.8" hidden="false" customHeight="false" outlineLevel="0" collapsed="false">
      <c r="I455" s="0" t="n">
        <v>113</v>
      </c>
      <c r="J455" s="0" t="n">
        <v>10.8</v>
      </c>
      <c r="K455" s="0" t="n">
        <v>0.1</v>
      </c>
    </row>
    <row r="456" customFormat="false" ht="12.8" hidden="false" customHeight="false" outlineLevel="0" collapsed="false">
      <c r="I456" s="0" t="n">
        <v>113.25</v>
      </c>
      <c r="J456" s="0" t="n">
        <v>10.8</v>
      </c>
      <c r="K456" s="0" t="n">
        <v>0.1</v>
      </c>
    </row>
    <row r="457" customFormat="false" ht="12.8" hidden="false" customHeight="false" outlineLevel="0" collapsed="false">
      <c r="I457" s="0" t="n">
        <v>113.5</v>
      </c>
      <c r="J457" s="0" t="n">
        <v>10.8</v>
      </c>
      <c r="K457" s="0" t="n">
        <v>0.1</v>
      </c>
    </row>
    <row r="458" customFormat="false" ht="12.8" hidden="false" customHeight="false" outlineLevel="0" collapsed="false">
      <c r="I458" s="0" t="n">
        <v>113.75</v>
      </c>
      <c r="J458" s="0" t="n">
        <v>10.9</v>
      </c>
      <c r="K458" s="0" t="n">
        <v>0.1</v>
      </c>
    </row>
    <row r="459" customFormat="false" ht="12.8" hidden="false" customHeight="false" outlineLevel="0" collapsed="false">
      <c r="I459" s="0" t="n">
        <v>114</v>
      </c>
      <c r="J459" s="0" t="n">
        <v>10.9</v>
      </c>
      <c r="K459" s="0" t="n">
        <v>0.1</v>
      </c>
    </row>
    <row r="460" customFormat="false" ht="12.8" hidden="false" customHeight="false" outlineLevel="0" collapsed="false">
      <c r="I460" s="0" t="n">
        <v>114.25</v>
      </c>
      <c r="J460" s="0" t="n">
        <v>10.9</v>
      </c>
      <c r="K460" s="0" t="n">
        <v>0.1</v>
      </c>
    </row>
    <row r="461" customFormat="false" ht="12.8" hidden="false" customHeight="false" outlineLevel="0" collapsed="false">
      <c r="I461" s="0" t="n">
        <v>114.5</v>
      </c>
      <c r="J461" s="0" t="n">
        <v>10.9</v>
      </c>
      <c r="K461" s="0" t="n">
        <v>0.1</v>
      </c>
    </row>
    <row r="462" customFormat="false" ht="12.8" hidden="false" customHeight="false" outlineLevel="0" collapsed="false">
      <c r="I462" s="0" t="n">
        <v>114.75</v>
      </c>
      <c r="J462" s="0" t="n">
        <v>11</v>
      </c>
      <c r="K462" s="0" t="n">
        <v>0.1</v>
      </c>
    </row>
    <row r="463" customFormat="false" ht="12.8" hidden="false" customHeight="false" outlineLevel="0" collapsed="false">
      <c r="I463" s="0" t="n">
        <v>115</v>
      </c>
      <c r="J463" s="0" t="n">
        <v>11</v>
      </c>
      <c r="K463" s="0" t="n">
        <v>0.1</v>
      </c>
    </row>
    <row r="464" customFormat="false" ht="12.8" hidden="false" customHeight="false" outlineLevel="0" collapsed="false">
      <c r="I464" s="0" t="n">
        <v>115.25</v>
      </c>
      <c r="J464" s="0" t="n">
        <v>11</v>
      </c>
      <c r="K464" s="0" t="n">
        <v>0.1</v>
      </c>
    </row>
    <row r="465" customFormat="false" ht="12.8" hidden="false" customHeight="false" outlineLevel="0" collapsed="false">
      <c r="I465" s="0" t="n">
        <v>115.5</v>
      </c>
      <c r="J465" s="0" t="n">
        <v>11</v>
      </c>
      <c r="K465" s="0" t="n">
        <v>0.1</v>
      </c>
    </row>
    <row r="466" customFormat="false" ht="12.8" hidden="false" customHeight="false" outlineLevel="0" collapsed="false">
      <c r="I466" s="0" t="n">
        <v>115.75</v>
      </c>
      <c r="J466" s="0" t="n">
        <v>11.1</v>
      </c>
      <c r="K466" s="0" t="n">
        <v>0.1</v>
      </c>
    </row>
    <row r="467" customFormat="false" ht="12.8" hidden="false" customHeight="false" outlineLevel="0" collapsed="false">
      <c r="I467" s="0" t="n">
        <v>116</v>
      </c>
      <c r="J467" s="0" t="n">
        <v>11.1</v>
      </c>
      <c r="K467" s="0" t="n">
        <v>0.1</v>
      </c>
    </row>
    <row r="468" customFormat="false" ht="12.8" hidden="false" customHeight="false" outlineLevel="0" collapsed="false">
      <c r="I468" s="0" t="n">
        <v>116.25</v>
      </c>
      <c r="J468" s="0" t="n">
        <v>11.1</v>
      </c>
      <c r="K468" s="0" t="n">
        <v>0.1</v>
      </c>
    </row>
    <row r="469" customFormat="false" ht="12.8" hidden="false" customHeight="false" outlineLevel="0" collapsed="false">
      <c r="I469" s="0" t="n">
        <v>116.5</v>
      </c>
      <c r="J469" s="0" t="n">
        <v>11.1</v>
      </c>
      <c r="K469" s="0" t="n">
        <v>0.1</v>
      </c>
    </row>
    <row r="470" customFormat="false" ht="12.8" hidden="false" customHeight="false" outlineLevel="0" collapsed="false">
      <c r="I470" s="0" t="n">
        <v>116.75</v>
      </c>
      <c r="J470" s="0" t="n">
        <v>11.2</v>
      </c>
      <c r="K470" s="0" t="n">
        <v>0.1</v>
      </c>
    </row>
    <row r="471" customFormat="false" ht="12.8" hidden="false" customHeight="false" outlineLevel="0" collapsed="false">
      <c r="I471" s="0" t="n">
        <v>117</v>
      </c>
      <c r="J471" s="0" t="n">
        <v>11.2</v>
      </c>
      <c r="K471" s="0" t="n">
        <v>0.1</v>
      </c>
    </row>
    <row r="472" customFormat="false" ht="12.8" hidden="false" customHeight="false" outlineLevel="0" collapsed="false">
      <c r="I472" s="0" t="n">
        <v>117.25</v>
      </c>
      <c r="J472" s="0" t="n">
        <v>11.2</v>
      </c>
      <c r="K472" s="0" t="n">
        <v>0.1</v>
      </c>
    </row>
    <row r="473" customFormat="false" ht="12.8" hidden="false" customHeight="false" outlineLevel="0" collapsed="false">
      <c r="I473" s="0" t="n">
        <v>117.5</v>
      </c>
      <c r="J473" s="0" t="n">
        <v>11.2</v>
      </c>
      <c r="K473" s="0" t="n">
        <v>0.1</v>
      </c>
    </row>
    <row r="474" customFormat="false" ht="12.8" hidden="false" customHeight="false" outlineLevel="0" collapsed="false">
      <c r="I474" s="0" t="n">
        <v>117.75</v>
      </c>
      <c r="J474" s="0" t="n">
        <v>11.3</v>
      </c>
      <c r="K474" s="0" t="n">
        <v>0.1</v>
      </c>
    </row>
    <row r="475" customFormat="false" ht="12.8" hidden="false" customHeight="false" outlineLevel="0" collapsed="false">
      <c r="I475" s="0" t="n">
        <v>118</v>
      </c>
      <c r="J475" s="0" t="n">
        <v>11.3</v>
      </c>
      <c r="K475" s="0" t="n">
        <v>0.1</v>
      </c>
    </row>
    <row r="476" customFormat="false" ht="12.8" hidden="false" customHeight="false" outlineLevel="0" collapsed="false">
      <c r="I476" s="0" t="n">
        <v>118.25</v>
      </c>
      <c r="J476" s="0" t="n">
        <v>11.3</v>
      </c>
      <c r="K476" s="0" t="n">
        <v>0.1</v>
      </c>
    </row>
    <row r="477" customFormat="false" ht="12.8" hidden="false" customHeight="false" outlineLevel="0" collapsed="false">
      <c r="I477" s="0" t="n">
        <v>118.5</v>
      </c>
      <c r="J477" s="0" t="n">
        <v>11.3</v>
      </c>
      <c r="K477" s="0" t="n">
        <v>0.1</v>
      </c>
    </row>
    <row r="478" customFormat="false" ht="12.8" hidden="false" customHeight="false" outlineLevel="0" collapsed="false">
      <c r="I478" s="0" t="n">
        <v>118.75</v>
      </c>
      <c r="J478" s="0" t="n">
        <v>11.4</v>
      </c>
      <c r="K478" s="0" t="n">
        <v>0.1</v>
      </c>
    </row>
    <row r="479" customFormat="false" ht="12.8" hidden="false" customHeight="false" outlineLevel="0" collapsed="false">
      <c r="I479" s="0" t="n">
        <v>119</v>
      </c>
      <c r="J479" s="0" t="n">
        <v>11.5</v>
      </c>
      <c r="K479" s="0" t="n">
        <v>0.5</v>
      </c>
    </row>
    <row r="480" customFormat="false" ht="12.8" hidden="false" customHeight="false" outlineLevel="0" collapsed="false">
      <c r="I480" s="0" t="n">
        <v>119.25</v>
      </c>
      <c r="J480" s="0" t="n">
        <v>12</v>
      </c>
      <c r="K480" s="0" t="n">
        <v>2</v>
      </c>
    </row>
    <row r="481" customFormat="false" ht="12.8" hidden="false" customHeight="false" outlineLevel="0" collapsed="false">
      <c r="I481" s="0" t="n">
        <v>119.5</v>
      </c>
      <c r="J481" s="0" t="n">
        <v>12.5</v>
      </c>
      <c r="K481" s="0" t="n">
        <v>2</v>
      </c>
    </row>
    <row r="482" customFormat="false" ht="12.8" hidden="false" customHeight="false" outlineLevel="0" collapsed="false">
      <c r="I482" s="0" t="n">
        <v>119.75</v>
      </c>
      <c r="J482" s="0" t="n">
        <v>13</v>
      </c>
      <c r="K482" s="0" t="n">
        <v>2</v>
      </c>
    </row>
    <row r="483" customFormat="false" ht="12.8" hidden="false" customHeight="false" outlineLevel="0" collapsed="false">
      <c r="I483" s="0" t="n">
        <v>120</v>
      </c>
      <c r="J483" s="0" t="n">
        <v>13.4</v>
      </c>
      <c r="K483" s="0" t="n">
        <v>2</v>
      </c>
    </row>
    <row r="484" customFormat="false" ht="12.8" hidden="false" customHeight="false" outlineLevel="0" collapsed="false">
      <c r="I484" s="0" t="n">
        <v>120.25</v>
      </c>
      <c r="J484" s="0" t="n">
        <v>13.9</v>
      </c>
      <c r="K484" s="0" t="n">
        <v>2</v>
      </c>
    </row>
    <row r="485" customFormat="false" ht="12.8" hidden="false" customHeight="false" outlineLevel="0" collapsed="false">
      <c r="I485" s="0" t="n">
        <v>120.5</v>
      </c>
      <c r="J485" s="0" t="n">
        <v>14.4</v>
      </c>
      <c r="K485" s="0" t="n">
        <v>1.8</v>
      </c>
    </row>
    <row r="486" customFormat="false" ht="12.8" hidden="false" customHeight="false" outlineLevel="0" collapsed="false">
      <c r="I486" s="0" t="n">
        <v>120.75</v>
      </c>
      <c r="J486" s="0" t="n">
        <v>14.8</v>
      </c>
      <c r="K486" s="0" t="n">
        <v>1.8</v>
      </c>
    </row>
    <row r="487" customFormat="false" ht="12.8" hidden="false" customHeight="false" outlineLevel="0" collapsed="false">
      <c r="I487" s="0" t="n">
        <v>121</v>
      </c>
      <c r="J487" s="0" t="n">
        <v>15.3</v>
      </c>
      <c r="K487" s="0" t="n">
        <v>1.8</v>
      </c>
    </row>
    <row r="488" customFormat="false" ht="12.8" hidden="false" customHeight="false" outlineLevel="0" collapsed="false">
      <c r="I488" s="0" t="n">
        <v>121.25</v>
      </c>
      <c r="J488" s="0" t="n">
        <v>15.7</v>
      </c>
      <c r="K488" s="0" t="n">
        <v>1.8</v>
      </c>
    </row>
    <row r="489" customFormat="false" ht="12.8" hidden="false" customHeight="false" outlineLevel="0" collapsed="false">
      <c r="I489" s="0" t="n">
        <v>121.5</v>
      </c>
      <c r="J489" s="0" t="n">
        <v>16.2</v>
      </c>
      <c r="K489" s="0" t="n">
        <v>1.8</v>
      </c>
    </row>
    <row r="490" customFormat="false" ht="12.8" hidden="false" customHeight="false" outlineLevel="0" collapsed="false">
      <c r="I490" s="0" t="n">
        <v>121.75</v>
      </c>
      <c r="J490" s="0" t="n">
        <v>16.7</v>
      </c>
      <c r="K490" s="0" t="n">
        <v>1.8</v>
      </c>
    </row>
    <row r="491" customFormat="false" ht="12.8" hidden="false" customHeight="false" outlineLevel="0" collapsed="false">
      <c r="I491" s="0" t="n">
        <v>122</v>
      </c>
      <c r="J491" s="0" t="n">
        <v>16.9</v>
      </c>
      <c r="K491" s="0" t="n">
        <v>0.9</v>
      </c>
    </row>
    <row r="492" customFormat="false" ht="12.8" hidden="false" customHeight="false" outlineLevel="0" collapsed="false">
      <c r="I492" s="0" t="n">
        <v>122.25</v>
      </c>
      <c r="J492" s="0" t="n">
        <v>16.9</v>
      </c>
      <c r="K492" s="0" t="n">
        <v>0.2</v>
      </c>
    </row>
    <row r="493" customFormat="false" ht="12.8" hidden="false" customHeight="false" outlineLevel="0" collapsed="false">
      <c r="I493" s="0" t="n">
        <v>122.5</v>
      </c>
      <c r="J493" s="0" t="n">
        <v>16.9</v>
      </c>
      <c r="K493" s="0" t="n">
        <v>0.2</v>
      </c>
    </row>
    <row r="494" customFormat="false" ht="12.8" hidden="false" customHeight="false" outlineLevel="0" collapsed="false">
      <c r="I494" s="0" t="n">
        <v>122.75</v>
      </c>
      <c r="J494" s="0" t="n">
        <v>17</v>
      </c>
      <c r="K494" s="0" t="n">
        <v>0.2</v>
      </c>
    </row>
    <row r="495" customFormat="false" ht="12.8" hidden="false" customHeight="false" outlineLevel="0" collapsed="false">
      <c r="I495" s="0" t="n">
        <v>123</v>
      </c>
      <c r="J495" s="0" t="n">
        <v>17</v>
      </c>
      <c r="K495" s="0" t="n">
        <v>0.2</v>
      </c>
    </row>
    <row r="496" customFormat="false" ht="12.8" hidden="false" customHeight="false" outlineLevel="0" collapsed="false">
      <c r="I496" s="0" t="n">
        <v>123.25</v>
      </c>
      <c r="J496" s="0" t="n">
        <v>17.1</v>
      </c>
      <c r="K496" s="0" t="n">
        <v>0.2</v>
      </c>
    </row>
    <row r="497" customFormat="false" ht="12.8" hidden="false" customHeight="false" outlineLevel="0" collapsed="false">
      <c r="I497" s="0" t="n">
        <v>123.5</v>
      </c>
      <c r="J497" s="0" t="n">
        <v>17.1</v>
      </c>
      <c r="K497" s="0" t="n">
        <v>0.2</v>
      </c>
    </row>
    <row r="498" customFormat="false" ht="12.8" hidden="false" customHeight="false" outlineLevel="0" collapsed="false">
      <c r="I498" s="0" t="n">
        <v>123.75</v>
      </c>
      <c r="J498" s="0" t="n">
        <v>17.1</v>
      </c>
      <c r="K498" s="0" t="n">
        <v>0.2</v>
      </c>
    </row>
    <row r="499" customFormat="false" ht="12.8" hidden="false" customHeight="false" outlineLevel="0" collapsed="false">
      <c r="I499" s="0" t="n">
        <v>124</v>
      </c>
      <c r="J499" s="0" t="n">
        <v>17.2</v>
      </c>
      <c r="K499" s="0" t="n">
        <v>0.2</v>
      </c>
    </row>
    <row r="500" customFormat="false" ht="12.8" hidden="false" customHeight="false" outlineLevel="0" collapsed="false">
      <c r="I500" s="0" t="n">
        <v>124.25</v>
      </c>
      <c r="J500" s="0" t="n">
        <v>17.2</v>
      </c>
      <c r="K500" s="0" t="n">
        <v>0.2</v>
      </c>
    </row>
    <row r="501" customFormat="false" ht="12.8" hidden="false" customHeight="false" outlineLevel="0" collapsed="false">
      <c r="I501" s="0" t="n">
        <v>124.5</v>
      </c>
      <c r="J501" s="0" t="n">
        <v>17.3</v>
      </c>
      <c r="K501" s="0" t="n">
        <v>0.2</v>
      </c>
    </row>
    <row r="502" customFormat="false" ht="12.8" hidden="false" customHeight="false" outlineLevel="0" collapsed="false">
      <c r="I502" s="0" t="n">
        <v>124.75</v>
      </c>
      <c r="J502" s="0" t="n">
        <v>17.3</v>
      </c>
      <c r="K502" s="0" t="n">
        <v>0.2</v>
      </c>
    </row>
    <row r="503" customFormat="false" ht="12.8" hidden="false" customHeight="false" outlineLevel="0" collapsed="false">
      <c r="I503" s="0" t="n">
        <v>125</v>
      </c>
      <c r="J503" s="0" t="n">
        <v>17.3</v>
      </c>
      <c r="K503" s="0" t="n">
        <v>0.2</v>
      </c>
    </row>
    <row r="504" customFormat="false" ht="12.8" hidden="false" customHeight="false" outlineLevel="0" collapsed="false">
      <c r="I504" s="0" t="n">
        <v>125.25</v>
      </c>
      <c r="J504" s="0" t="n">
        <v>17.4</v>
      </c>
      <c r="K504" s="0" t="n">
        <v>0.2</v>
      </c>
    </row>
    <row r="505" customFormat="false" ht="12.8" hidden="false" customHeight="false" outlineLevel="0" collapsed="false">
      <c r="I505" s="0" t="n">
        <v>125.5</v>
      </c>
      <c r="J505" s="0" t="n">
        <v>17.4</v>
      </c>
      <c r="K505" s="0" t="n">
        <v>0.2</v>
      </c>
    </row>
    <row r="506" customFormat="false" ht="12.8" hidden="false" customHeight="false" outlineLevel="0" collapsed="false">
      <c r="I506" s="0" t="n">
        <v>125.75</v>
      </c>
      <c r="J506" s="0" t="n">
        <v>17.5</v>
      </c>
      <c r="K506" s="0" t="n">
        <v>0.2</v>
      </c>
    </row>
    <row r="507" customFormat="false" ht="12.8" hidden="false" customHeight="false" outlineLevel="0" collapsed="false">
      <c r="I507" s="0" t="n">
        <v>126</v>
      </c>
      <c r="J507" s="0" t="n">
        <v>17.5</v>
      </c>
      <c r="K507" s="0" t="n">
        <v>0.2</v>
      </c>
    </row>
    <row r="508" customFormat="false" ht="12.8" hidden="false" customHeight="false" outlineLevel="0" collapsed="false">
      <c r="I508" s="0" t="n">
        <v>126.25</v>
      </c>
      <c r="J508" s="0" t="n">
        <v>17.5</v>
      </c>
      <c r="K508" s="0" t="n">
        <v>0.2</v>
      </c>
    </row>
    <row r="509" customFormat="false" ht="12.8" hidden="false" customHeight="false" outlineLevel="0" collapsed="false">
      <c r="I509" s="0" t="n">
        <v>126.5</v>
      </c>
      <c r="J509" s="0" t="n">
        <v>17.6</v>
      </c>
      <c r="K509" s="0" t="n">
        <v>0.2</v>
      </c>
    </row>
    <row r="510" customFormat="false" ht="12.8" hidden="false" customHeight="false" outlineLevel="0" collapsed="false">
      <c r="I510" s="0" t="n">
        <v>126.75</v>
      </c>
      <c r="J510" s="0" t="n">
        <v>17.6</v>
      </c>
      <c r="K510" s="0" t="n">
        <v>0.2</v>
      </c>
    </row>
    <row r="511" customFormat="false" ht="12.8" hidden="false" customHeight="false" outlineLevel="0" collapsed="false">
      <c r="I511" s="0" t="n">
        <v>127</v>
      </c>
      <c r="J511" s="0" t="n">
        <v>17.7</v>
      </c>
      <c r="K511" s="0" t="n">
        <v>0.2</v>
      </c>
    </row>
    <row r="512" customFormat="false" ht="12.8" hidden="false" customHeight="false" outlineLevel="0" collapsed="false">
      <c r="I512" s="0" t="n">
        <v>127.25</v>
      </c>
      <c r="J512" s="0" t="n">
        <v>17.7</v>
      </c>
      <c r="K512" s="0" t="n">
        <v>0.2</v>
      </c>
    </row>
    <row r="513" customFormat="false" ht="12.8" hidden="false" customHeight="false" outlineLevel="0" collapsed="false">
      <c r="I513" s="0" t="n">
        <v>127.5</v>
      </c>
      <c r="J513" s="0" t="n">
        <v>17.7</v>
      </c>
      <c r="K513" s="0" t="n">
        <v>0.2</v>
      </c>
    </row>
    <row r="514" customFormat="false" ht="12.8" hidden="false" customHeight="false" outlineLevel="0" collapsed="false">
      <c r="I514" s="0" t="n">
        <v>127.75</v>
      </c>
      <c r="J514" s="0" t="n">
        <v>17.8</v>
      </c>
      <c r="K514" s="0" t="n">
        <v>0.2</v>
      </c>
    </row>
    <row r="515" customFormat="false" ht="12.8" hidden="false" customHeight="false" outlineLevel="0" collapsed="false">
      <c r="I515" s="0" t="n">
        <v>128</v>
      </c>
      <c r="J515" s="0" t="n">
        <v>17.8</v>
      </c>
      <c r="K515" s="0" t="n">
        <v>0.2</v>
      </c>
    </row>
    <row r="516" customFormat="false" ht="12.8" hidden="false" customHeight="false" outlineLevel="0" collapsed="false">
      <c r="I516" s="0" t="n">
        <v>128.25</v>
      </c>
      <c r="J516" s="0" t="n">
        <v>17.8</v>
      </c>
      <c r="K516" s="0" t="n">
        <v>0.2</v>
      </c>
    </row>
    <row r="517" customFormat="false" ht="12.8" hidden="false" customHeight="false" outlineLevel="0" collapsed="false">
      <c r="I517" s="0" t="n">
        <v>128.5</v>
      </c>
      <c r="J517" s="0" t="n">
        <v>17.9</v>
      </c>
      <c r="K517" s="0" t="n">
        <v>0.2</v>
      </c>
    </row>
    <row r="518" customFormat="false" ht="12.8" hidden="false" customHeight="false" outlineLevel="0" collapsed="false">
      <c r="I518" s="0" t="n">
        <v>128.75</v>
      </c>
      <c r="J518" s="0" t="n">
        <v>17.9</v>
      </c>
      <c r="K518" s="0" t="n">
        <v>0.2</v>
      </c>
    </row>
    <row r="519" customFormat="false" ht="12.8" hidden="false" customHeight="false" outlineLevel="0" collapsed="false">
      <c r="I519" s="0" t="n">
        <v>129</v>
      </c>
      <c r="J519" s="0" t="n">
        <v>18</v>
      </c>
      <c r="K519" s="0" t="n">
        <v>0.2</v>
      </c>
    </row>
    <row r="520" customFormat="false" ht="12.8" hidden="false" customHeight="false" outlineLevel="0" collapsed="false">
      <c r="I520" s="0" t="n">
        <v>129.25</v>
      </c>
      <c r="J520" s="0" t="n">
        <v>18</v>
      </c>
      <c r="K520" s="0" t="n">
        <v>0.2</v>
      </c>
    </row>
    <row r="521" customFormat="false" ht="12.8" hidden="false" customHeight="false" outlineLevel="0" collapsed="false">
      <c r="I521" s="0" t="n">
        <v>129.5</v>
      </c>
      <c r="J521" s="0" t="n">
        <v>18</v>
      </c>
      <c r="K521" s="0" t="n">
        <v>0.2</v>
      </c>
    </row>
    <row r="522" customFormat="false" ht="12.8" hidden="false" customHeight="false" outlineLevel="0" collapsed="false">
      <c r="I522" s="0" t="n">
        <v>129.75</v>
      </c>
      <c r="J522" s="0" t="n">
        <v>18.1</v>
      </c>
      <c r="K522" s="0" t="n">
        <v>0.2</v>
      </c>
    </row>
    <row r="523" customFormat="false" ht="12.8" hidden="false" customHeight="false" outlineLevel="0" collapsed="false">
      <c r="I523" s="0" t="n">
        <v>130</v>
      </c>
      <c r="J523" s="0" t="n">
        <v>18.1</v>
      </c>
      <c r="K523" s="0" t="n">
        <v>0.2</v>
      </c>
    </row>
    <row r="524" customFormat="false" ht="12.8" hidden="false" customHeight="false" outlineLevel="0" collapsed="false">
      <c r="I524" s="0" t="n">
        <v>130.25</v>
      </c>
      <c r="J524" s="0" t="n">
        <v>18.2</v>
      </c>
      <c r="K524" s="0" t="n">
        <v>0.2</v>
      </c>
    </row>
    <row r="525" customFormat="false" ht="12.8" hidden="false" customHeight="false" outlineLevel="0" collapsed="false">
      <c r="I525" s="0" t="n">
        <v>130.5</v>
      </c>
      <c r="J525" s="0" t="n">
        <v>18.2</v>
      </c>
      <c r="K525" s="0" t="n">
        <v>0.2</v>
      </c>
    </row>
    <row r="526" customFormat="false" ht="12.8" hidden="false" customHeight="false" outlineLevel="0" collapsed="false">
      <c r="I526" s="0" t="n">
        <v>130.75</v>
      </c>
      <c r="J526" s="0" t="n">
        <v>18.2</v>
      </c>
      <c r="K526" s="0" t="n">
        <v>0.2</v>
      </c>
    </row>
    <row r="527" customFormat="false" ht="12.8" hidden="false" customHeight="false" outlineLevel="0" collapsed="false">
      <c r="I527" s="0" t="n">
        <v>131</v>
      </c>
      <c r="J527" s="0" t="n">
        <v>18.3</v>
      </c>
      <c r="K527" s="0" t="n">
        <v>0.2</v>
      </c>
    </row>
    <row r="528" customFormat="false" ht="12.8" hidden="false" customHeight="false" outlineLevel="0" collapsed="false">
      <c r="I528" s="0" t="n">
        <v>131.25</v>
      </c>
      <c r="J528" s="0" t="n">
        <v>18.3</v>
      </c>
      <c r="K528" s="0" t="n">
        <v>0.2</v>
      </c>
    </row>
    <row r="529" customFormat="false" ht="12.8" hidden="false" customHeight="false" outlineLevel="0" collapsed="false">
      <c r="I529" s="0" t="n">
        <v>131.5</v>
      </c>
      <c r="J529" s="0" t="n">
        <v>18.4</v>
      </c>
      <c r="K529" s="0" t="n">
        <v>0.2</v>
      </c>
    </row>
    <row r="530" customFormat="false" ht="12.8" hidden="false" customHeight="false" outlineLevel="0" collapsed="false">
      <c r="I530" s="0" t="n">
        <v>131.75</v>
      </c>
      <c r="J530" s="0" t="n">
        <v>18.4</v>
      </c>
      <c r="K530" s="0" t="n">
        <v>0.2</v>
      </c>
    </row>
    <row r="531" customFormat="false" ht="12.8" hidden="false" customHeight="false" outlineLevel="0" collapsed="false">
      <c r="I531" s="0" t="n">
        <v>132</v>
      </c>
      <c r="J531" s="0" t="n">
        <v>18.4</v>
      </c>
      <c r="K531" s="0" t="n">
        <v>0.2</v>
      </c>
    </row>
    <row r="532" customFormat="false" ht="12.8" hidden="false" customHeight="false" outlineLevel="0" collapsed="false">
      <c r="I532" s="0" t="n">
        <v>132.25</v>
      </c>
      <c r="J532" s="0" t="n">
        <v>18.5</v>
      </c>
      <c r="K532" s="0" t="n">
        <v>0.2</v>
      </c>
    </row>
    <row r="533" customFormat="false" ht="12.8" hidden="false" customHeight="false" outlineLevel="0" collapsed="false">
      <c r="I533" s="0" t="n">
        <v>132.5</v>
      </c>
      <c r="J533" s="0" t="n">
        <v>18.5</v>
      </c>
      <c r="K533" s="0" t="n">
        <v>0.2</v>
      </c>
    </row>
    <row r="534" customFormat="false" ht="12.8" hidden="false" customHeight="false" outlineLevel="0" collapsed="false">
      <c r="I534" s="0" t="n">
        <v>132.75</v>
      </c>
      <c r="J534" s="0" t="n">
        <v>18.6</v>
      </c>
      <c r="K534" s="0" t="n">
        <v>0.2</v>
      </c>
    </row>
    <row r="535" customFormat="false" ht="12.8" hidden="false" customHeight="false" outlineLevel="0" collapsed="false">
      <c r="I535" s="0" t="n">
        <v>133</v>
      </c>
      <c r="J535" s="0" t="n">
        <v>18.6</v>
      </c>
      <c r="K535" s="0" t="n">
        <v>0.2</v>
      </c>
    </row>
    <row r="536" customFormat="false" ht="12.8" hidden="false" customHeight="false" outlineLevel="0" collapsed="false">
      <c r="I536" s="0" t="n">
        <v>133.25</v>
      </c>
      <c r="J536" s="0" t="n">
        <v>18.6</v>
      </c>
      <c r="K536" s="0" t="n">
        <v>0.2</v>
      </c>
    </row>
    <row r="537" customFormat="false" ht="12.8" hidden="false" customHeight="false" outlineLevel="0" collapsed="false">
      <c r="I537" s="0" t="n">
        <v>133.5</v>
      </c>
      <c r="J537" s="0" t="n">
        <v>18.7</v>
      </c>
      <c r="K537" s="0" t="n">
        <v>0.2</v>
      </c>
    </row>
    <row r="538" customFormat="false" ht="12.8" hidden="false" customHeight="false" outlineLevel="0" collapsed="false">
      <c r="I538" s="0" t="n">
        <v>133.75</v>
      </c>
      <c r="J538" s="0" t="n">
        <v>18.7</v>
      </c>
      <c r="K538" s="0" t="n">
        <v>0.2</v>
      </c>
    </row>
    <row r="539" customFormat="false" ht="12.8" hidden="false" customHeight="false" outlineLevel="0" collapsed="false">
      <c r="I539" s="0" t="n">
        <v>134</v>
      </c>
      <c r="J539" s="0" t="n">
        <v>18.8</v>
      </c>
      <c r="K539" s="0" t="n">
        <v>0.2</v>
      </c>
    </row>
    <row r="540" customFormat="false" ht="12.8" hidden="false" customHeight="false" outlineLevel="0" collapsed="false">
      <c r="I540" s="0" t="n">
        <v>134.25</v>
      </c>
      <c r="J540" s="0" t="n">
        <v>18.8</v>
      </c>
      <c r="K540" s="0" t="n">
        <v>0.2</v>
      </c>
    </row>
    <row r="541" customFormat="false" ht="12.8" hidden="false" customHeight="false" outlineLevel="0" collapsed="false">
      <c r="I541" s="0" t="n">
        <v>134.5</v>
      </c>
      <c r="J541" s="0" t="n">
        <v>18.8</v>
      </c>
      <c r="K541" s="0" t="n">
        <v>0.2</v>
      </c>
    </row>
    <row r="542" customFormat="false" ht="12.8" hidden="false" customHeight="false" outlineLevel="0" collapsed="false">
      <c r="I542" s="0" t="n">
        <v>134.75</v>
      </c>
      <c r="J542" s="0" t="n">
        <v>18.9</v>
      </c>
      <c r="K542" s="0" t="n">
        <v>0.2</v>
      </c>
    </row>
    <row r="543" customFormat="false" ht="12.8" hidden="false" customHeight="false" outlineLevel="0" collapsed="false">
      <c r="I543" s="0" t="n">
        <v>135</v>
      </c>
      <c r="J543" s="0" t="n">
        <v>18.9</v>
      </c>
      <c r="K543" s="0" t="n">
        <v>0.2</v>
      </c>
    </row>
    <row r="544" customFormat="false" ht="12.8" hidden="false" customHeight="false" outlineLevel="0" collapsed="false">
      <c r="I544" s="0" t="n">
        <v>135.25</v>
      </c>
      <c r="J544" s="0" t="n">
        <v>18.9</v>
      </c>
      <c r="K544" s="0" t="n">
        <v>0.2</v>
      </c>
    </row>
    <row r="545" customFormat="false" ht="12.8" hidden="false" customHeight="false" outlineLevel="0" collapsed="false">
      <c r="I545" s="0" t="n">
        <v>135.5</v>
      </c>
      <c r="J545" s="0" t="n">
        <v>19</v>
      </c>
      <c r="K545" s="0" t="n">
        <v>0.2</v>
      </c>
    </row>
    <row r="546" customFormat="false" ht="12.8" hidden="false" customHeight="false" outlineLevel="0" collapsed="false">
      <c r="I546" s="0" t="n">
        <v>135.75</v>
      </c>
      <c r="J546" s="0" t="n">
        <v>19</v>
      </c>
      <c r="K546" s="0" t="n">
        <v>0.2</v>
      </c>
    </row>
    <row r="547" customFormat="false" ht="12.8" hidden="false" customHeight="false" outlineLevel="0" collapsed="false">
      <c r="I547" s="0" t="n">
        <v>136</v>
      </c>
      <c r="J547" s="0" t="n">
        <v>19.1</v>
      </c>
      <c r="K547" s="0" t="n">
        <v>0.2</v>
      </c>
    </row>
    <row r="548" customFormat="false" ht="12.8" hidden="false" customHeight="false" outlineLevel="0" collapsed="false">
      <c r="I548" s="0" t="n">
        <v>136.25</v>
      </c>
      <c r="J548" s="0" t="n">
        <v>19.1</v>
      </c>
      <c r="K548" s="0" t="n">
        <v>0.2</v>
      </c>
    </row>
    <row r="549" customFormat="false" ht="12.8" hidden="false" customHeight="false" outlineLevel="0" collapsed="false">
      <c r="I549" s="0" t="n">
        <v>136.5</v>
      </c>
      <c r="J549" s="0" t="n">
        <v>19.1</v>
      </c>
      <c r="K549" s="0" t="n">
        <v>0.2</v>
      </c>
    </row>
    <row r="550" customFormat="false" ht="12.8" hidden="false" customHeight="false" outlineLevel="0" collapsed="false">
      <c r="I550" s="0" t="n">
        <v>136.75</v>
      </c>
      <c r="J550" s="0" t="n">
        <v>19.2</v>
      </c>
      <c r="K550" s="0" t="n">
        <v>0.2</v>
      </c>
    </row>
    <row r="551" customFormat="false" ht="12.8" hidden="false" customHeight="false" outlineLevel="0" collapsed="false">
      <c r="I551" s="0" t="n">
        <v>137</v>
      </c>
      <c r="J551" s="0" t="n">
        <v>19.2</v>
      </c>
      <c r="K551" s="0" t="n">
        <v>0.2</v>
      </c>
    </row>
    <row r="552" customFormat="false" ht="12.8" hidden="false" customHeight="false" outlineLevel="0" collapsed="false">
      <c r="I552" s="0" t="n">
        <v>137.25</v>
      </c>
      <c r="J552" s="0" t="n">
        <v>19.3</v>
      </c>
      <c r="K552" s="0" t="n">
        <v>0.2</v>
      </c>
    </row>
    <row r="553" customFormat="false" ht="12.8" hidden="false" customHeight="false" outlineLevel="0" collapsed="false">
      <c r="I553" s="0" t="n">
        <v>137.5</v>
      </c>
      <c r="J553" s="0" t="n">
        <v>19.3</v>
      </c>
      <c r="K553" s="0" t="n">
        <v>0.2</v>
      </c>
    </row>
    <row r="554" customFormat="false" ht="12.8" hidden="false" customHeight="false" outlineLevel="0" collapsed="false">
      <c r="I554" s="0" t="n">
        <v>137.75</v>
      </c>
      <c r="J554" s="0" t="n">
        <v>19.3</v>
      </c>
      <c r="K554" s="0" t="n">
        <v>0.2</v>
      </c>
    </row>
    <row r="555" customFormat="false" ht="12.8" hidden="false" customHeight="false" outlineLevel="0" collapsed="false">
      <c r="I555" s="0" t="n">
        <v>138</v>
      </c>
      <c r="J555" s="0" t="n">
        <v>19.4</v>
      </c>
      <c r="K555" s="0" t="n">
        <v>0.2</v>
      </c>
    </row>
    <row r="556" customFormat="false" ht="12.8" hidden="false" customHeight="false" outlineLevel="0" collapsed="false">
      <c r="I556" s="0" t="n">
        <v>138.25</v>
      </c>
      <c r="J556" s="0" t="n">
        <v>19.4</v>
      </c>
      <c r="K556" s="0" t="n">
        <v>0.2</v>
      </c>
    </row>
    <row r="557" customFormat="false" ht="12.8" hidden="false" customHeight="false" outlineLevel="0" collapsed="false">
      <c r="I557" s="0" t="n">
        <v>138.5</v>
      </c>
      <c r="J557" s="0" t="n">
        <v>19.5</v>
      </c>
      <c r="K557" s="0" t="n">
        <v>0.2</v>
      </c>
    </row>
    <row r="558" customFormat="false" ht="12.8" hidden="false" customHeight="false" outlineLevel="0" collapsed="false">
      <c r="I558" s="0" t="n">
        <v>138.75</v>
      </c>
      <c r="J558" s="0" t="n">
        <v>19.5</v>
      </c>
      <c r="K558" s="0" t="n">
        <v>0.2</v>
      </c>
    </row>
    <row r="559" customFormat="false" ht="12.8" hidden="false" customHeight="false" outlineLevel="0" collapsed="false">
      <c r="I559" s="0" t="n">
        <v>139</v>
      </c>
      <c r="J559" s="0" t="n">
        <v>19.5</v>
      </c>
      <c r="K559" s="0" t="n">
        <v>0.2</v>
      </c>
    </row>
    <row r="560" customFormat="false" ht="12.8" hidden="false" customHeight="false" outlineLevel="0" collapsed="false">
      <c r="I560" s="0" t="n">
        <v>139.25</v>
      </c>
      <c r="J560" s="0" t="n">
        <v>19.6</v>
      </c>
      <c r="K560" s="0" t="n">
        <v>0.2</v>
      </c>
    </row>
    <row r="561" customFormat="false" ht="12.8" hidden="false" customHeight="false" outlineLevel="0" collapsed="false">
      <c r="I561" s="0" t="n">
        <v>139.5</v>
      </c>
      <c r="J561" s="0" t="n">
        <v>19.6</v>
      </c>
      <c r="K561" s="0" t="n">
        <v>0.2</v>
      </c>
    </row>
    <row r="562" customFormat="false" ht="12.8" hidden="false" customHeight="false" outlineLevel="0" collapsed="false">
      <c r="I562" s="0" t="n">
        <v>139.75</v>
      </c>
      <c r="J562" s="0" t="n">
        <v>19.7</v>
      </c>
      <c r="K562" s="0" t="n">
        <v>0.2</v>
      </c>
    </row>
    <row r="563" customFormat="false" ht="12.8" hidden="false" customHeight="false" outlineLevel="0" collapsed="false">
      <c r="I563" s="0" t="n">
        <v>140</v>
      </c>
      <c r="J563" s="0" t="n">
        <v>19.7</v>
      </c>
      <c r="K563" s="0" t="n">
        <v>0.2</v>
      </c>
    </row>
    <row r="564" customFormat="false" ht="12.8" hidden="false" customHeight="false" outlineLevel="0" collapsed="false">
      <c r="I564" s="0" t="n">
        <v>140.25</v>
      </c>
      <c r="J564" s="0" t="n">
        <v>19.7</v>
      </c>
      <c r="K564" s="0" t="n">
        <v>0.2</v>
      </c>
    </row>
    <row r="565" customFormat="false" ht="12.8" hidden="false" customHeight="false" outlineLevel="0" collapsed="false">
      <c r="I565" s="0" t="n">
        <v>140.5</v>
      </c>
      <c r="J565" s="0" t="n">
        <v>19.8</v>
      </c>
      <c r="K565" s="0" t="n">
        <v>0.2</v>
      </c>
    </row>
    <row r="566" customFormat="false" ht="12.8" hidden="false" customHeight="false" outlineLevel="0" collapsed="false">
      <c r="I566" s="0" t="n">
        <v>140.75</v>
      </c>
      <c r="J566" s="0" t="n">
        <v>19.8</v>
      </c>
      <c r="K566" s="0" t="n">
        <v>0.2</v>
      </c>
    </row>
    <row r="567" customFormat="false" ht="12.8" hidden="false" customHeight="false" outlineLevel="0" collapsed="false">
      <c r="I567" s="0" t="n">
        <v>141</v>
      </c>
      <c r="J567" s="0" t="n">
        <v>19.8</v>
      </c>
      <c r="K567" s="0" t="n">
        <v>0.2</v>
      </c>
    </row>
    <row r="568" customFormat="false" ht="12.8" hidden="false" customHeight="false" outlineLevel="0" collapsed="false">
      <c r="I568" s="0" t="n">
        <v>141.25</v>
      </c>
      <c r="J568" s="0" t="n">
        <v>19.9</v>
      </c>
      <c r="K568" s="0" t="n">
        <v>0.2</v>
      </c>
    </row>
    <row r="569" customFormat="false" ht="12.8" hidden="false" customHeight="false" outlineLevel="0" collapsed="false">
      <c r="I569" s="0" t="n">
        <v>141.5</v>
      </c>
      <c r="J569" s="0" t="n">
        <v>23.4</v>
      </c>
      <c r="K569" s="0" t="n">
        <v>14.1</v>
      </c>
    </row>
    <row r="570" customFormat="false" ht="12.8" hidden="false" customHeight="false" outlineLevel="0" collapsed="false">
      <c r="I570" s="0" t="n">
        <v>141.75</v>
      </c>
      <c r="J570" s="0" t="n">
        <v>24.1</v>
      </c>
      <c r="K570" s="0" t="n">
        <v>2.5</v>
      </c>
    </row>
    <row r="571" customFormat="false" ht="12.8" hidden="false" customHeight="false" outlineLevel="0" collapsed="false">
      <c r="I571" s="0" t="n">
        <v>142</v>
      </c>
      <c r="J571" s="0" t="n">
        <v>24.7</v>
      </c>
      <c r="K571" s="0" t="n">
        <v>2.5</v>
      </c>
    </row>
    <row r="572" customFormat="false" ht="12.8" hidden="false" customHeight="false" outlineLevel="0" collapsed="false">
      <c r="I572" s="0" t="n">
        <v>142.25</v>
      </c>
      <c r="J572" s="0" t="n">
        <v>25.3</v>
      </c>
      <c r="K572" s="0" t="n">
        <v>2.5</v>
      </c>
    </row>
    <row r="573" customFormat="false" ht="12.8" hidden="false" customHeight="false" outlineLevel="0" collapsed="false">
      <c r="I573" s="0" t="n">
        <v>142.5</v>
      </c>
      <c r="J573" s="0" t="n">
        <v>26</v>
      </c>
      <c r="K573" s="0" t="n">
        <v>2.5</v>
      </c>
    </row>
    <row r="574" customFormat="false" ht="12.8" hidden="false" customHeight="false" outlineLevel="0" collapsed="false">
      <c r="I574" s="0" t="n">
        <v>142.75</v>
      </c>
      <c r="J574" s="0" t="n">
        <v>26.6</v>
      </c>
      <c r="K574" s="0" t="n">
        <v>2.5</v>
      </c>
    </row>
    <row r="575" customFormat="false" ht="12.8" hidden="false" customHeight="false" outlineLevel="0" collapsed="false">
      <c r="I575" s="0" t="n">
        <v>143</v>
      </c>
      <c r="J575" s="0" t="n">
        <v>27.2</v>
      </c>
      <c r="K575" s="0" t="n">
        <v>2.6</v>
      </c>
    </row>
    <row r="576" customFormat="false" ht="12.8" hidden="false" customHeight="false" outlineLevel="0" collapsed="false">
      <c r="I576" s="0" t="n">
        <v>143.25</v>
      </c>
      <c r="J576" s="0" t="n">
        <v>27.9</v>
      </c>
      <c r="K576" s="0" t="n">
        <v>2.6</v>
      </c>
    </row>
    <row r="577" customFormat="false" ht="12.8" hidden="false" customHeight="false" outlineLevel="0" collapsed="false">
      <c r="I577" s="0" t="n">
        <v>143.5</v>
      </c>
      <c r="J577" s="0" t="n">
        <v>28.5</v>
      </c>
      <c r="K577" s="0" t="n">
        <v>2.6</v>
      </c>
    </row>
    <row r="578" customFormat="false" ht="12.8" hidden="false" customHeight="false" outlineLevel="0" collapsed="false">
      <c r="I578" s="0" t="n">
        <v>143.75</v>
      </c>
      <c r="J578" s="0" t="n">
        <v>29.2</v>
      </c>
      <c r="K578" s="0" t="n">
        <v>2.6</v>
      </c>
    </row>
    <row r="579" customFormat="false" ht="12.8" hidden="false" customHeight="false" outlineLevel="0" collapsed="false">
      <c r="I579" s="0" t="n">
        <v>144</v>
      </c>
      <c r="J579" s="0" t="n">
        <v>29.8</v>
      </c>
      <c r="K579" s="0" t="n">
        <v>2.6</v>
      </c>
    </row>
    <row r="580" customFormat="false" ht="12.8" hidden="false" customHeight="false" outlineLevel="0" collapsed="false">
      <c r="I580" s="0" t="n">
        <v>144.25</v>
      </c>
      <c r="J580" s="0" t="n">
        <v>30.5</v>
      </c>
      <c r="K580" s="0" t="n">
        <v>2.7</v>
      </c>
    </row>
    <row r="581" customFormat="false" ht="12.8" hidden="false" customHeight="false" outlineLevel="0" collapsed="false">
      <c r="I581" s="0" t="n">
        <v>144.5</v>
      </c>
      <c r="J581" s="0" t="n">
        <v>31.3</v>
      </c>
      <c r="K581" s="0" t="n">
        <v>3.1</v>
      </c>
    </row>
    <row r="582" customFormat="false" ht="12.8" hidden="false" customHeight="false" outlineLevel="0" collapsed="false">
      <c r="I582" s="0" t="n">
        <v>144.75</v>
      </c>
      <c r="J582" s="0" t="n">
        <v>32.1</v>
      </c>
      <c r="K582" s="0" t="n">
        <v>3.1</v>
      </c>
    </row>
    <row r="583" customFormat="false" ht="12.8" hidden="false" customHeight="false" outlineLevel="0" collapsed="false">
      <c r="I583" s="0" t="n">
        <v>145</v>
      </c>
      <c r="J583" s="0" t="n">
        <v>32.8</v>
      </c>
      <c r="K583" s="0" t="n">
        <v>3.1</v>
      </c>
    </row>
    <row r="584" customFormat="false" ht="12.8" hidden="false" customHeight="false" outlineLevel="0" collapsed="false">
      <c r="I584" s="0" t="n">
        <v>145.25</v>
      </c>
      <c r="J584" s="0" t="n">
        <v>33.6</v>
      </c>
      <c r="K584" s="0" t="n">
        <v>3.1</v>
      </c>
    </row>
    <row r="585" customFormat="false" ht="12.8" hidden="false" customHeight="false" outlineLevel="0" collapsed="false">
      <c r="I585" s="0" t="n">
        <v>145.5</v>
      </c>
      <c r="J585" s="0" t="n">
        <v>34.2</v>
      </c>
      <c r="K585" s="0" t="n">
        <v>2.5</v>
      </c>
    </row>
    <row r="586" customFormat="false" ht="12.8" hidden="false" customHeight="false" outlineLevel="0" collapsed="false">
      <c r="I586" s="0" t="n">
        <v>145.75</v>
      </c>
      <c r="J586" s="0" t="n">
        <v>34.3</v>
      </c>
      <c r="K586" s="0" t="n">
        <v>0.2</v>
      </c>
    </row>
    <row r="587" customFormat="false" ht="12.8" hidden="false" customHeight="false" outlineLevel="0" collapsed="false">
      <c r="I587" s="0" t="n">
        <v>146</v>
      </c>
      <c r="J587" s="0" t="n">
        <v>34.3</v>
      </c>
      <c r="K587" s="0" t="n">
        <v>0.2</v>
      </c>
    </row>
    <row r="588" customFormat="false" ht="12.8" hidden="false" customHeight="false" outlineLevel="0" collapsed="false">
      <c r="I588" s="0" t="n">
        <v>146.25</v>
      </c>
      <c r="J588" s="0" t="n">
        <v>34.4</v>
      </c>
      <c r="K588" s="0" t="n">
        <v>0.2</v>
      </c>
    </row>
    <row r="589" customFormat="false" ht="12.8" hidden="false" customHeight="false" outlineLevel="0" collapsed="false">
      <c r="I589" s="0" t="n">
        <v>146.5</v>
      </c>
      <c r="J589" s="0" t="n">
        <v>34.4</v>
      </c>
      <c r="K589" s="0" t="n">
        <v>0.2</v>
      </c>
    </row>
    <row r="590" customFormat="false" ht="12.8" hidden="false" customHeight="false" outlineLevel="0" collapsed="false">
      <c r="I590" s="0" t="n">
        <v>146.75</v>
      </c>
      <c r="J590" s="0" t="n">
        <v>34.5</v>
      </c>
      <c r="K590" s="0" t="n">
        <v>0.2</v>
      </c>
    </row>
    <row r="591" customFormat="false" ht="12.8" hidden="false" customHeight="false" outlineLevel="0" collapsed="false">
      <c r="I591" s="0" t="n">
        <v>147</v>
      </c>
      <c r="J591" s="0" t="n">
        <v>34.5</v>
      </c>
      <c r="K591" s="0" t="n">
        <v>0.2</v>
      </c>
    </row>
    <row r="592" customFormat="false" ht="12.8" hidden="false" customHeight="false" outlineLevel="0" collapsed="false">
      <c r="I592" s="0" t="n">
        <v>147.25</v>
      </c>
      <c r="J592" s="0" t="n">
        <v>34.6</v>
      </c>
      <c r="K592" s="0" t="n">
        <v>0.2</v>
      </c>
    </row>
    <row r="593" customFormat="false" ht="12.8" hidden="false" customHeight="false" outlineLevel="0" collapsed="false">
      <c r="I593" s="0" t="n">
        <v>147.5</v>
      </c>
      <c r="J593" s="0" t="n">
        <v>34.6</v>
      </c>
      <c r="K593" s="0" t="n">
        <v>0.2</v>
      </c>
    </row>
    <row r="594" customFormat="false" ht="12.8" hidden="false" customHeight="false" outlineLevel="0" collapsed="false">
      <c r="I594" s="0" t="n">
        <v>147.75</v>
      </c>
      <c r="J594" s="0" t="n">
        <v>34.7</v>
      </c>
      <c r="K594" s="0" t="n">
        <v>0.2</v>
      </c>
    </row>
    <row r="595" customFormat="false" ht="12.8" hidden="false" customHeight="false" outlineLevel="0" collapsed="false">
      <c r="I595" s="0" t="n">
        <v>148</v>
      </c>
      <c r="J595" s="0" t="n">
        <v>34.7</v>
      </c>
      <c r="K595" s="0" t="n">
        <v>0.2</v>
      </c>
    </row>
    <row r="596" customFormat="false" ht="12.8" hidden="false" customHeight="false" outlineLevel="0" collapsed="false">
      <c r="I596" s="0" t="n">
        <v>148.25</v>
      </c>
      <c r="J596" s="0" t="n">
        <v>34.8</v>
      </c>
      <c r="K596" s="0" t="n">
        <v>0.2</v>
      </c>
    </row>
    <row r="597" customFormat="false" ht="12.8" hidden="false" customHeight="false" outlineLevel="0" collapsed="false">
      <c r="I597" s="0" t="n">
        <v>148.5</v>
      </c>
      <c r="J597" s="0" t="n">
        <v>34.8</v>
      </c>
      <c r="K597" s="0" t="n">
        <v>0.2</v>
      </c>
    </row>
    <row r="598" customFormat="false" ht="12.8" hidden="false" customHeight="false" outlineLevel="0" collapsed="false">
      <c r="I598" s="0" t="n">
        <v>148.75</v>
      </c>
      <c r="J598" s="0" t="n">
        <v>34.9</v>
      </c>
      <c r="K598" s="0" t="n">
        <v>0.2</v>
      </c>
    </row>
    <row r="599" customFormat="false" ht="12.8" hidden="false" customHeight="false" outlineLevel="0" collapsed="false">
      <c r="I599" s="0" t="n">
        <v>149</v>
      </c>
      <c r="J599" s="0" t="n">
        <v>34.9</v>
      </c>
      <c r="K599" s="0" t="n">
        <v>0.2</v>
      </c>
    </row>
    <row r="600" customFormat="false" ht="12.8" hidden="false" customHeight="false" outlineLevel="0" collapsed="false">
      <c r="I600" s="0" t="n">
        <v>149.25</v>
      </c>
      <c r="J600" s="0" t="n">
        <v>35</v>
      </c>
      <c r="K600" s="0" t="n">
        <v>0.2</v>
      </c>
    </row>
    <row r="601" customFormat="false" ht="12.8" hidden="false" customHeight="false" outlineLevel="0" collapsed="false">
      <c r="I601" s="0" t="n">
        <v>149.5</v>
      </c>
      <c r="J601" s="0" t="n">
        <v>35</v>
      </c>
      <c r="K601" s="0" t="n">
        <v>0.2</v>
      </c>
    </row>
    <row r="602" customFormat="false" ht="12.8" hidden="false" customHeight="false" outlineLevel="0" collapsed="false">
      <c r="I602" s="0" t="n">
        <v>149.75</v>
      </c>
      <c r="J602" s="0" t="n">
        <v>35.1</v>
      </c>
      <c r="K602" s="0" t="n">
        <v>0.2</v>
      </c>
    </row>
    <row r="603" customFormat="false" ht="12.8" hidden="false" customHeight="false" outlineLevel="0" collapsed="false">
      <c r="I603" s="0" t="n">
        <v>150</v>
      </c>
      <c r="J603" s="0" t="n">
        <v>35.1</v>
      </c>
      <c r="K603" s="0" t="n">
        <v>0.2</v>
      </c>
    </row>
    <row r="604" customFormat="false" ht="12.8" hidden="false" customHeight="false" outlineLevel="0" collapsed="false">
      <c r="I604" s="0" t="n">
        <v>150.25</v>
      </c>
      <c r="J604" s="0" t="n">
        <v>35.2</v>
      </c>
      <c r="K604" s="0" t="n">
        <v>0.2</v>
      </c>
    </row>
    <row r="605" customFormat="false" ht="12.8" hidden="false" customHeight="false" outlineLevel="0" collapsed="false">
      <c r="I605" s="0" t="n">
        <v>150.5</v>
      </c>
      <c r="J605" s="0" t="n">
        <v>35.2</v>
      </c>
      <c r="K605" s="0" t="n">
        <v>0.2</v>
      </c>
    </row>
    <row r="606" customFormat="false" ht="12.8" hidden="false" customHeight="false" outlineLevel="0" collapsed="false">
      <c r="I606" s="0" t="n">
        <v>150.75</v>
      </c>
      <c r="J606" s="0" t="n">
        <v>35.3</v>
      </c>
      <c r="K606" s="0" t="n">
        <v>0.2</v>
      </c>
    </row>
    <row r="607" customFormat="false" ht="12.8" hidden="false" customHeight="false" outlineLevel="0" collapsed="false">
      <c r="I607" s="0" t="n">
        <v>151</v>
      </c>
      <c r="J607" s="0" t="n">
        <v>35.3</v>
      </c>
      <c r="K607" s="0" t="n">
        <v>0.2</v>
      </c>
    </row>
    <row r="608" customFormat="false" ht="12.8" hidden="false" customHeight="false" outlineLevel="0" collapsed="false">
      <c r="I608" s="0" t="n">
        <v>151.25</v>
      </c>
      <c r="J608" s="0" t="n">
        <v>35.4</v>
      </c>
      <c r="K608" s="0" t="n">
        <v>0.2</v>
      </c>
    </row>
    <row r="609" customFormat="false" ht="12.8" hidden="false" customHeight="false" outlineLevel="0" collapsed="false">
      <c r="I609" s="0" t="n">
        <v>151.5</v>
      </c>
      <c r="J609" s="0" t="n">
        <v>35.5</v>
      </c>
      <c r="K609" s="0" t="n">
        <v>0.2</v>
      </c>
    </row>
    <row r="610" customFormat="false" ht="12.8" hidden="false" customHeight="false" outlineLevel="0" collapsed="false">
      <c r="I610" s="0" t="n">
        <v>151.75</v>
      </c>
      <c r="J610" s="0" t="n">
        <v>35.5</v>
      </c>
      <c r="K610" s="0" t="n">
        <v>0.2</v>
      </c>
    </row>
    <row r="611" customFormat="false" ht="12.8" hidden="false" customHeight="false" outlineLevel="0" collapsed="false">
      <c r="I611" s="0" t="n">
        <v>152</v>
      </c>
      <c r="J611" s="0" t="n">
        <v>35.6</v>
      </c>
      <c r="K611" s="0" t="n">
        <v>0.2</v>
      </c>
    </row>
    <row r="612" customFormat="false" ht="12.8" hidden="false" customHeight="false" outlineLevel="0" collapsed="false">
      <c r="I612" s="0" t="n">
        <v>152.25</v>
      </c>
      <c r="J612" s="0" t="n">
        <v>35.6</v>
      </c>
      <c r="K612" s="0" t="n">
        <v>0.2</v>
      </c>
    </row>
    <row r="613" customFormat="false" ht="12.8" hidden="false" customHeight="false" outlineLevel="0" collapsed="false">
      <c r="I613" s="0" t="n">
        <v>152.5</v>
      </c>
      <c r="J613" s="0" t="n">
        <v>35.7</v>
      </c>
      <c r="K613" s="0" t="n">
        <v>0.2</v>
      </c>
    </row>
    <row r="614" customFormat="false" ht="12.8" hidden="false" customHeight="false" outlineLevel="0" collapsed="false">
      <c r="I614" s="0" t="n">
        <v>152.75</v>
      </c>
      <c r="J614" s="0" t="n">
        <v>35.7</v>
      </c>
      <c r="K614" s="0" t="n">
        <v>0.2</v>
      </c>
    </row>
    <row r="615" customFormat="false" ht="12.8" hidden="false" customHeight="false" outlineLevel="0" collapsed="false">
      <c r="I615" s="0" t="n">
        <v>153</v>
      </c>
      <c r="J615" s="0" t="n">
        <v>35.8</v>
      </c>
      <c r="K615" s="0" t="n">
        <v>0.2</v>
      </c>
    </row>
    <row r="616" customFormat="false" ht="12.8" hidden="false" customHeight="false" outlineLevel="0" collapsed="false">
      <c r="I616" s="0" t="n">
        <v>153.25</v>
      </c>
      <c r="J616" s="0" t="n">
        <v>35.8</v>
      </c>
      <c r="K616" s="0" t="n">
        <v>0.2</v>
      </c>
    </row>
    <row r="617" customFormat="false" ht="12.8" hidden="false" customHeight="false" outlineLevel="0" collapsed="false">
      <c r="I617" s="0" t="n">
        <v>153.5</v>
      </c>
      <c r="J617" s="0" t="n">
        <v>35.9</v>
      </c>
      <c r="K617" s="0" t="n">
        <v>0.2</v>
      </c>
    </row>
    <row r="618" customFormat="false" ht="12.8" hidden="false" customHeight="false" outlineLevel="0" collapsed="false">
      <c r="I618" s="0" t="n">
        <v>153.75</v>
      </c>
      <c r="J618" s="0" t="n">
        <v>35.9</v>
      </c>
      <c r="K618" s="0" t="n">
        <v>0.2</v>
      </c>
    </row>
    <row r="619" customFormat="false" ht="12.8" hidden="false" customHeight="false" outlineLevel="0" collapsed="false">
      <c r="I619" s="0" t="n">
        <v>154</v>
      </c>
      <c r="J619" s="0" t="n">
        <v>36</v>
      </c>
      <c r="K619" s="0" t="n">
        <v>0.2</v>
      </c>
    </row>
    <row r="620" customFormat="false" ht="12.8" hidden="false" customHeight="false" outlineLevel="0" collapsed="false">
      <c r="I620" s="0" t="n">
        <v>154.25</v>
      </c>
      <c r="J620" s="0" t="n">
        <v>36</v>
      </c>
      <c r="K620" s="0" t="n">
        <v>0.2</v>
      </c>
    </row>
    <row r="621" customFormat="false" ht="12.8" hidden="false" customHeight="false" outlineLevel="0" collapsed="false">
      <c r="I621" s="0" t="n">
        <v>154.5</v>
      </c>
      <c r="J621" s="0" t="n">
        <v>36.1</v>
      </c>
      <c r="K621" s="0" t="n">
        <v>0.2</v>
      </c>
    </row>
    <row r="622" customFormat="false" ht="12.8" hidden="false" customHeight="false" outlineLevel="0" collapsed="false">
      <c r="I622" s="0" t="n">
        <v>154.75</v>
      </c>
      <c r="J622" s="0" t="n">
        <v>36.1</v>
      </c>
      <c r="K622" s="0" t="n">
        <v>0.2</v>
      </c>
    </row>
    <row r="623" customFormat="false" ht="12.8" hidden="false" customHeight="false" outlineLevel="0" collapsed="false">
      <c r="I623" s="0" t="n">
        <v>155</v>
      </c>
      <c r="J623" s="0" t="n">
        <v>36.2</v>
      </c>
      <c r="K623" s="0" t="n">
        <v>0.2</v>
      </c>
    </row>
    <row r="624" customFormat="false" ht="12.8" hidden="false" customHeight="false" outlineLevel="0" collapsed="false">
      <c r="I624" s="0" t="n">
        <v>155.25</v>
      </c>
      <c r="J624" s="0" t="n">
        <v>36.2</v>
      </c>
      <c r="K624" s="0" t="n">
        <v>0.2</v>
      </c>
    </row>
    <row r="625" customFormat="false" ht="12.8" hidden="false" customHeight="false" outlineLevel="0" collapsed="false">
      <c r="I625" s="0" t="n">
        <v>155.5</v>
      </c>
      <c r="J625" s="0" t="n">
        <v>36.3</v>
      </c>
      <c r="K625" s="0" t="n">
        <v>0.2</v>
      </c>
    </row>
    <row r="626" customFormat="false" ht="12.8" hidden="false" customHeight="false" outlineLevel="0" collapsed="false">
      <c r="I626" s="0" t="n">
        <v>155.75</v>
      </c>
      <c r="J626" s="0" t="n">
        <v>36.3</v>
      </c>
      <c r="K626" s="0" t="n">
        <v>0.2</v>
      </c>
    </row>
    <row r="627" customFormat="false" ht="12.8" hidden="false" customHeight="false" outlineLevel="0" collapsed="false">
      <c r="I627" s="0" t="n">
        <v>156</v>
      </c>
      <c r="J627" s="0" t="n">
        <v>36.4</v>
      </c>
      <c r="K627" s="0" t="n">
        <v>0.2</v>
      </c>
    </row>
    <row r="628" customFormat="false" ht="12.8" hidden="false" customHeight="false" outlineLevel="0" collapsed="false">
      <c r="I628" s="0" t="n">
        <v>156.25</v>
      </c>
      <c r="J628" s="0" t="n">
        <v>36.4</v>
      </c>
      <c r="K628" s="0" t="n">
        <v>0.2</v>
      </c>
    </row>
    <row r="629" customFormat="false" ht="12.8" hidden="false" customHeight="false" outlineLevel="0" collapsed="false">
      <c r="I629" s="0" t="n">
        <v>156.5</v>
      </c>
      <c r="J629" s="0" t="n">
        <v>36.5</v>
      </c>
      <c r="K629" s="0" t="n">
        <v>0.2</v>
      </c>
    </row>
    <row r="630" customFormat="false" ht="12.8" hidden="false" customHeight="false" outlineLevel="0" collapsed="false">
      <c r="I630" s="0" t="n">
        <v>156.75</v>
      </c>
      <c r="J630" s="0" t="n">
        <v>36.5</v>
      </c>
      <c r="K630" s="0" t="n">
        <v>0.2</v>
      </c>
    </row>
    <row r="631" customFormat="false" ht="12.8" hidden="false" customHeight="false" outlineLevel="0" collapsed="false">
      <c r="I631" s="0" t="n">
        <v>157</v>
      </c>
      <c r="J631" s="0" t="n">
        <v>36.6</v>
      </c>
      <c r="K631" s="0" t="n">
        <v>0.2</v>
      </c>
    </row>
    <row r="632" customFormat="false" ht="12.8" hidden="false" customHeight="false" outlineLevel="0" collapsed="false">
      <c r="I632" s="0" t="n">
        <v>157.25</v>
      </c>
      <c r="J632" s="0" t="n">
        <v>36.6</v>
      </c>
      <c r="K632" s="0" t="n">
        <v>0.2</v>
      </c>
    </row>
    <row r="633" customFormat="false" ht="12.8" hidden="false" customHeight="false" outlineLevel="0" collapsed="false">
      <c r="I633" s="0" t="n">
        <v>157.5</v>
      </c>
      <c r="J633" s="0" t="n">
        <v>36.7</v>
      </c>
      <c r="K633" s="0" t="n">
        <v>0.2</v>
      </c>
    </row>
    <row r="634" customFormat="false" ht="12.8" hidden="false" customHeight="false" outlineLevel="0" collapsed="false">
      <c r="I634" s="0" t="n">
        <v>157.75</v>
      </c>
      <c r="J634" s="0" t="n">
        <v>36.7</v>
      </c>
      <c r="K634" s="0" t="n">
        <v>0.2</v>
      </c>
    </row>
    <row r="635" customFormat="false" ht="12.8" hidden="false" customHeight="false" outlineLevel="0" collapsed="false">
      <c r="I635" s="0" t="n">
        <v>158</v>
      </c>
      <c r="J635" s="0" t="n">
        <v>36.8</v>
      </c>
      <c r="K635" s="0" t="n">
        <v>0.2</v>
      </c>
    </row>
    <row r="636" customFormat="false" ht="12.8" hidden="false" customHeight="false" outlineLevel="0" collapsed="false">
      <c r="I636" s="0" t="n">
        <v>158.25</v>
      </c>
      <c r="J636" s="0" t="n">
        <v>36.8</v>
      </c>
      <c r="K636" s="0" t="n">
        <v>0.2</v>
      </c>
    </row>
    <row r="637" customFormat="false" ht="12.8" hidden="false" customHeight="false" outlineLevel="0" collapsed="false">
      <c r="I637" s="0" t="n">
        <v>158.5</v>
      </c>
      <c r="J637" s="0" t="n">
        <v>36.9</v>
      </c>
      <c r="K637" s="0" t="n">
        <v>0.2</v>
      </c>
    </row>
    <row r="638" customFormat="false" ht="12.8" hidden="false" customHeight="false" outlineLevel="0" collapsed="false">
      <c r="I638" s="0" t="n">
        <v>158.75</v>
      </c>
      <c r="J638" s="0" t="n">
        <v>36.9</v>
      </c>
      <c r="K638" s="0" t="n">
        <v>0.2</v>
      </c>
    </row>
    <row r="639" customFormat="false" ht="12.8" hidden="false" customHeight="false" outlineLevel="0" collapsed="false">
      <c r="I639" s="0" t="n">
        <v>159</v>
      </c>
      <c r="J639" s="0" t="n">
        <v>37</v>
      </c>
      <c r="K639" s="0" t="n">
        <v>0.2</v>
      </c>
    </row>
    <row r="640" customFormat="false" ht="12.8" hidden="false" customHeight="false" outlineLevel="0" collapsed="false">
      <c r="I640" s="0" t="n">
        <v>159.25</v>
      </c>
      <c r="J640" s="0" t="n">
        <v>37</v>
      </c>
      <c r="K640" s="0" t="n">
        <v>0.2</v>
      </c>
    </row>
    <row r="641" customFormat="false" ht="12.8" hidden="false" customHeight="false" outlineLevel="0" collapsed="false">
      <c r="I641" s="0" t="n">
        <v>159.5</v>
      </c>
      <c r="J641" s="0" t="n">
        <v>37.1</v>
      </c>
      <c r="K641" s="0" t="n">
        <v>0.2</v>
      </c>
    </row>
    <row r="642" customFormat="false" ht="12.8" hidden="false" customHeight="false" outlineLevel="0" collapsed="false">
      <c r="I642" s="0" t="n">
        <v>159.75</v>
      </c>
      <c r="J642" s="0" t="n">
        <v>37.2</v>
      </c>
      <c r="K642" s="0" t="n">
        <v>0.2</v>
      </c>
    </row>
    <row r="643" customFormat="false" ht="12.8" hidden="false" customHeight="false" outlineLevel="0" collapsed="false">
      <c r="I643" s="0" t="n">
        <v>160</v>
      </c>
      <c r="J643" s="0" t="n">
        <v>37.2</v>
      </c>
      <c r="K643" s="0" t="n">
        <v>0.2</v>
      </c>
    </row>
    <row r="644" customFormat="false" ht="12.8" hidden="false" customHeight="false" outlineLevel="0" collapsed="false">
      <c r="I644" s="0" t="n">
        <v>160.25</v>
      </c>
      <c r="J644" s="0" t="n">
        <v>37.3</v>
      </c>
      <c r="K644" s="0" t="n">
        <v>0.2</v>
      </c>
    </row>
    <row r="645" customFormat="false" ht="12.8" hidden="false" customHeight="false" outlineLevel="0" collapsed="false">
      <c r="I645" s="0" t="n">
        <v>160.5</v>
      </c>
      <c r="J645" s="0" t="n">
        <v>37.3</v>
      </c>
      <c r="K645" s="0" t="n">
        <v>0.2</v>
      </c>
    </row>
    <row r="646" customFormat="false" ht="12.8" hidden="false" customHeight="false" outlineLevel="0" collapsed="false">
      <c r="I646" s="0" t="n">
        <v>160.75</v>
      </c>
      <c r="J646" s="0" t="n">
        <v>37.4</v>
      </c>
      <c r="K646" s="0" t="n">
        <v>0.2</v>
      </c>
    </row>
    <row r="647" customFormat="false" ht="12.8" hidden="false" customHeight="false" outlineLevel="0" collapsed="false">
      <c r="I647" s="0" t="n">
        <v>161</v>
      </c>
      <c r="J647" s="0" t="n">
        <v>37.4</v>
      </c>
      <c r="K647" s="0" t="n">
        <v>0.2</v>
      </c>
    </row>
    <row r="648" customFormat="false" ht="12.8" hidden="false" customHeight="false" outlineLevel="0" collapsed="false">
      <c r="I648" s="0" t="n">
        <v>161.25</v>
      </c>
      <c r="J648" s="0" t="n">
        <v>37.5</v>
      </c>
      <c r="K648" s="0" t="n">
        <v>0.2</v>
      </c>
    </row>
    <row r="649" customFormat="false" ht="12.8" hidden="false" customHeight="false" outlineLevel="0" collapsed="false">
      <c r="I649" s="0" t="n">
        <v>161.5</v>
      </c>
      <c r="J649" s="0" t="n">
        <v>37.5</v>
      </c>
      <c r="K649" s="0" t="n">
        <v>0.2</v>
      </c>
    </row>
    <row r="650" customFormat="false" ht="12.8" hidden="false" customHeight="false" outlineLevel="0" collapsed="false">
      <c r="I650" s="0" t="n">
        <v>161.75</v>
      </c>
      <c r="J650" s="0" t="n">
        <v>37.6</v>
      </c>
      <c r="K650" s="0" t="n">
        <v>0.2</v>
      </c>
    </row>
    <row r="651" customFormat="false" ht="12.8" hidden="false" customHeight="false" outlineLevel="0" collapsed="false">
      <c r="I651" s="0" t="n">
        <v>162</v>
      </c>
      <c r="J651" s="0" t="n">
        <v>37.6</v>
      </c>
      <c r="K651" s="0" t="n">
        <v>0.2</v>
      </c>
    </row>
    <row r="652" customFormat="false" ht="12.8" hidden="false" customHeight="false" outlineLevel="0" collapsed="false">
      <c r="I652" s="0" t="n">
        <v>162.25</v>
      </c>
      <c r="J652" s="0" t="n">
        <v>37.7</v>
      </c>
      <c r="K652" s="0" t="n">
        <v>0.2</v>
      </c>
    </row>
    <row r="653" customFormat="false" ht="12.8" hidden="false" customHeight="false" outlineLevel="0" collapsed="false">
      <c r="I653" s="0" t="n">
        <v>162.5</v>
      </c>
      <c r="J653" s="0" t="n">
        <v>37.7</v>
      </c>
      <c r="K653" s="0" t="n">
        <v>0.2</v>
      </c>
    </row>
    <row r="654" customFormat="false" ht="12.8" hidden="false" customHeight="false" outlineLevel="0" collapsed="false">
      <c r="I654" s="0" t="n">
        <v>162.75</v>
      </c>
      <c r="J654" s="0" t="n">
        <v>37.8</v>
      </c>
      <c r="K654" s="0" t="n">
        <v>0.2</v>
      </c>
    </row>
    <row r="655" customFormat="false" ht="12.8" hidden="false" customHeight="false" outlineLevel="0" collapsed="false">
      <c r="I655" s="0" t="n">
        <v>163</v>
      </c>
      <c r="J655" s="0" t="n">
        <v>37.8</v>
      </c>
      <c r="K655" s="0" t="n">
        <v>0.2</v>
      </c>
    </row>
    <row r="656" customFormat="false" ht="12.8" hidden="false" customHeight="false" outlineLevel="0" collapsed="false">
      <c r="I656" s="0" t="n">
        <v>163.25</v>
      </c>
      <c r="J656" s="0" t="n">
        <v>37.9</v>
      </c>
      <c r="K656" s="0" t="n">
        <v>0.2</v>
      </c>
    </row>
    <row r="657" customFormat="false" ht="12.8" hidden="false" customHeight="false" outlineLevel="0" collapsed="false">
      <c r="I657" s="0" t="n">
        <v>163.5</v>
      </c>
      <c r="J657" s="0" t="n">
        <v>37.9</v>
      </c>
      <c r="K657" s="0" t="n">
        <v>0.2</v>
      </c>
    </row>
    <row r="658" customFormat="false" ht="12.8" hidden="false" customHeight="false" outlineLevel="0" collapsed="false">
      <c r="I658" s="0" t="n">
        <v>163.75</v>
      </c>
      <c r="J658" s="0" t="n">
        <v>38</v>
      </c>
      <c r="K658" s="0" t="n">
        <v>0.2</v>
      </c>
    </row>
    <row r="659" customFormat="false" ht="12.8" hidden="false" customHeight="false" outlineLevel="0" collapsed="false">
      <c r="I659" s="0" t="n">
        <v>164</v>
      </c>
      <c r="J659" s="0" t="n">
        <v>38</v>
      </c>
      <c r="K659" s="0" t="n">
        <v>0.2</v>
      </c>
    </row>
    <row r="660" customFormat="false" ht="12.8" hidden="false" customHeight="false" outlineLevel="0" collapsed="false">
      <c r="I660" s="0" t="n">
        <v>164.25</v>
      </c>
      <c r="J660" s="0" t="n">
        <v>38.1</v>
      </c>
      <c r="K660" s="0" t="n">
        <v>0.2</v>
      </c>
    </row>
    <row r="661" customFormat="false" ht="12.8" hidden="false" customHeight="false" outlineLevel="0" collapsed="false">
      <c r="I661" s="0" t="n">
        <v>164.5</v>
      </c>
      <c r="J661" s="0" t="n">
        <v>38.1</v>
      </c>
      <c r="K661" s="0" t="n">
        <v>0.2</v>
      </c>
    </row>
    <row r="662" customFormat="false" ht="12.8" hidden="false" customHeight="false" outlineLevel="0" collapsed="false">
      <c r="I662" s="0" t="n">
        <v>164.75</v>
      </c>
      <c r="J662" s="0" t="n">
        <v>38.2</v>
      </c>
      <c r="K662" s="0" t="n">
        <v>0.2</v>
      </c>
    </row>
    <row r="663" customFormat="false" ht="12.8" hidden="false" customHeight="false" outlineLevel="0" collapsed="false">
      <c r="I663" s="0" t="n">
        <v>165</v>
      </c>
      <c r="J663" s="0" t="n">
        <v>38.9</v>
      </c>
      <c r="K663" s="0" t="n">
        <v>2.9</v>
      </c>
    </row>
    <row r="664" customFormat="false" ht="12.8" hidden="false" customHeight="false" outlineLevel="0" collapsed="false">
      <c r="I664" s="0" t="n">
        <v>165.25</v>
      </c>
      <c r="J664" s="0" t="n">
        <v>41.1</v>
      </c>
      <c r="K664" s="0" t="n">
        <v>8.8</v>
      </c>
    </row>
    <row r="665" customFormat="false" ht="12.8" hidden="false" customHeight="false" outlineLevel="0" collapsed="false">
      <c r="I665" s="0" t="n">
        <v>165.5</v>
      </c>
      <c r="J665" s="0" t="n">
        <v>47.2</v>
      </c>
      <c r="K665" s="0" t="n">
        <v>24.3</v>
      </c>
    </row>
    <row r="666" customFormat="false" ht="12.8" hidden="false" customHeight="false" outlineLevel="0" collapsed="false">
      <c r="I666" s="0" t="n">
        <v>165.75</v>
      </c>
      <c r="J666" s="0" t="n">
        <v>48.3</v>
      </c>
      <c r="K666" s="0" t="n">
        <v>4.6</v>
      </c>
    </row>
    <row r="667" customFormat="false" ht="12.8" hidden="false" customHeight="false" outlineLevel="0" collapsed="false">
      <c r="I667" s="0" t="n">
        <v>166</v>
      </c>
      <c r="J667" s="0" t="n">
        <v>49.5</v>
      </c>
      <c r="K667" s="0" t="n">
        <v>4.6</v>
      </c>
    </row>
    <row r="668" customFormat="false" ht="12.8" hidden="false" customHeight="false" outlineLevel="0" collapsed="false">
      <c r="I668" s="0" t="n">
        <v>166.25</v>
      </c>
      <c r="J668" s="0" t="n">
        <v>50.7</v>
      </c>
      <c r="K668" s="0" t="n">
        <v>4.6</v>
      </c>
    </row>
    <row r="669" customFormat="false" ht="12.8" hidden="false" customHeight="false" outlineLevel="0" collapsed="false">
      <c r="I669" s="0" t="n">
        <v>166.5</v>
      </c>
      <c r="J669" s="0" t="n">
        <v>51.6</v>
      </c>
      <c r="K669" s="0" t="n">
        <v>3.8</v>
      </c>
    </row>
    <row r="670" customFormat="false" ht="12.8" hidden="false" customHeight="false" outlineLevel="0" collapsed="false">
      <c r="I670" s="0" t="n">
        <v>166.75</v>
      </c>
      <c r="J670" s="0" t="n">
        <v>52.3</v>
      </c>
      <c r="K670" s="0" t="n">
        <v>2.8</v>
      </c>
    </row>
    <row r="671" customFormat="false" ht="12.8" hidden="false" customHeight="false" outlineLevel="0" collapsed="false">
      <c r="I671" s="0" t="n">
        <v>167</v>
      </c>
      <c r="J671" s="0" t="n">
        <v>53</v>
      </c>
      <c r="K671" s="0" t="n">
        <v>2.8</v>
      </c>
    </row>
    <row r="672" customFormat="false" ht="12.8" hidden="false" customHeight="false" outlineLevel="0" collapsed="false">
      <c r="I672" s="0" t="n">
        <v>167.25</v>
      </c>
      <c r="J672" s="0" t="n">
        <v>53.7</v>
      </c>
      <c r="K672" s="0" t="n">
        <v>2.8</v>
      </c>
    </row>
    <row r="673" customFormat="false" ht="12.8" hidden="false" customHeight="false" outlineLevel="0" collapsed="false">
      <c r="I673" s="0" t="n">
        <v>167.5</v>
      </c>
      <c r="J673" s="0" t="n">
        <v>54.4</v>
      </c>
      <c r="K673" s="0" t="n">
        <v>2.8</v>
      </c>
    </row>
    <row r="674" customFormat="false" ht="12.8" hidden="false" customHeight="false" outlineLevel="0" collapsed="false">
      <c r="I674" s="0" t="n">
        <v>167.75</v>
      </c>
      <c r="J674" s="0" t="n">
        <v>55.1</v>
      </c>
      <c r="K674" s="0" t="n">
        <v>2.8</v>
      </c>
    </row>
    <row r="675" customFormat="false" ht="12.8" hidden="false" customHeight="false" outlineLevel="0" collapsed="false">
      <c r="I675" s="0" t="n">
        <v>168</v>
      </c>
      <c r="J675" s="0" t="n">
        <v>55.8</v>
      </c>
      <c r="K675" s="0" t="n">
        <v>2.8</v>
      </c>
    </row>
    <row r="676" customFormat="false" ht="12.8" hidden="false" customHeight="false" outlineLevel="0" collapsed="false">
      <c r="I676" s="0" t="n">
        <v>168.25</v>
      </c>
      <c r="J676" s="0" t="n">
        <v>56</v>
      </c>
      <c r="K676" s="0" t="n">
        <v>0.8</v>
      </c>
    </row>
    <row r="677" customFormat="false" ht="12.8" hidden="false" customHeight="false" outlineLevel="0" collapsed="false">
      <c r="I677" s="0" t="n">
        <v>168.5</v>
      </c>
      <c r="J677" s="0" t="n">
        <v>56.1</v>
      </c>
      <c r="K677" s="0" t="n">
        <v>0.3</v>
      </c>
    </row>
    <row r="678" customFormat="false" ht="12.8" hidden="false" customHeight="false" outlineLevel="0" collapsed="false">
      <c r="I678" s="0" t="n">
        <v>168.75</v>
      </c>
      <c r="J678" s="0" t="n">
        <v>56.1</v>
      </c>
      <c r="K678" s="0" t="n">
        <v>0.3</v>
      </c>
    </row>
    <row r="679" customFormat="false" ht="12.8" hidden="false" customHeight="false" outlineLevel="0" collapsed="false">
      <c r="I679" s="0" t="n">
        <v>169</v>
      </c>
      <c r="J679" s="0" t="n">
        <v>56.2</v>
      </c>
      <c r="K679" s="0" t="n">
        <v>0.3</v>
      </c>
    </row>
    <row r="680" customFormat="false" ht="12.8" hidden="false" customHeight="false" outlineLevel="0" collapsed="false">
      <c r="I680" s="0" t="n">
        <v>169.25</v>
      </c>
      <c r="J680" s="0" t="n">
        <v>56.3</v>
      </c>
      <c r="K680" s="0" t="n">
        <v>0.3</v>
      </c>
    </row>
    <row r="681" customFormat="false" ht="12.8" hidden="false" customHeight="false" outlineLevel="0" collapsed="false">
      <c r="I681" s="0" t="n">
        <v>169.5</v>
      </c>
      <c r="J681" s="0" t="n">
        <v>56.4</v>
      </c>
      <c r="K681" s="0" t="n">
        <v>0.3</v>
      </c>
    </row>
    <row r="682" customFormat="false" ht="12.8" hidden="false" customHeight="false" outlineLevel="0" collapsed="false">
      <c r="I682" s="0" t="n">
        <v>169.75</v>
      </c>
      <c r="J682" s="0" t="n">
        <v>56.5</v>
      </c>
      <c r="K682" s="0" t="n">
        <v>0.3</v>
      </c>
    </row>
    <row r="683" customFormat="false" ht="12.8" hidden="false" customHeight="false" outlineLevel="0" collapsed="false">
      <c r="I683" s="0" t="n">
        <v>170</v>
      </c>
      <c r="J683" s="0" t="n">
        <v>56.6</v>
      </c>
      <c r="K683" s="0" t="n">
        <v>0.3</v>
      </c>
    </row>
    <row r="684" customFormat="false" ht="12.8" hidden="false" customHeight="false" outlineLevel="0" collapsed="false">
      <c r="I684" s="0" t="n">
        <v>170.25</v>
      </c>
      <c r="J684" s="0" t="n">
        <v>56.6</v>
      </c>
      <c r="K684" s="0" t="n">
        <v>0.3</v>
      </c>
    </row>
    <row r="685" customFormat="false" ht="12.8" hidden="false" customHeight="false" outlineLevel="0" collapsed="false">
      <c r="I685" s="0" t="n">
        <v>170.5</v>
      </c>
      <c r="J685" s="0" t="n">
        <v>56.7</v>
      </c>
      <c r="K685" s="0" t="n">
        <v>0.3</v>
      </c>
    </row>
    <row r="686" customFormat="false" ht="12.8" hidden="false" customHeight="false" outlineLevel="0" collapsed="false">
      <c r="I686" s="0" t="n">
        <v>170.75</v>
      </c>
      <c r="J686" s="0" t="n">
        <v>56.8</v>
      </c>
      <c r="K686" s="0" t="n">
        <v>0.3</v>
      </c>
    </row>
    <row r="687" customFormat="false" ht="12.8" hidden="false" customHeight="false" outlineLevel="0" collapsed="false">
      <c r="I687" s="0" t="n">
        <v>171</v>
      </c>
      <c r="J687" s="0" t="n">
        <v>56.9</v>
      </c>
      <c r="K687" s="0" t="n">
        <v>0.3</v>
      </c>
    </row>
    <row r="688" customFormat="false" ht="12.8" hidden="false" customHeight="false" outlineLevel="0" collapsed="false">
      <c r="I688" s="0" t="n">
        <v>171.25</v>
      </c>
      <c r="J688" s="0" t="n">
        <v>57</v>
      </c>
      <c r="K688" s="0" t="n">
        <v>0.3</v>
      </c>
    </row>
    <row r="689" customFormat="false" ht="12.8" hidden="false" customHeight="false" outlineLevel="0" collapsed="false">
      <c r="I689" s="0" t="n">
        <v>171.5</v>
      </c>
      <c r="J689" s="0" t="n">
        <v>57</v>
      </c>
      <c r="K689" s="0" t="n">
        <v>0.3</v>
      </c>
    </row>
    <row r="690" customFormat="false" ht="12.8" hidden="false" customHeight="false" outlineLevel="0" collapsed="false">
      <c r="I690" s="0" t="n">
        <v>171.75</v>
      </c>
      <c r="J690" s="0" t="n">
        <v>57.1</v>
      </c>
      <c r="K690" s="0" t="n">
        <v>0.3</v>
      </c>
    </row>
    <row r="691" customFormat="false" ht="12.8" hidden="false" customHeight="false" outlineLevel="0" collapsed="false">
      <c r="I691" s="0" t="n">
        <v>172</v>
      </c>
      <c r="J691" s="0" t="n">
        <v>57.2</v>
      </c>
      <c r="K691" s="0" t="n">
        <v>0.3</v>
      </c>
    </row>
    <row r="692" customFormat="false" ht="12.8" hidden="false" customHeight="false" outlineLevel="0" collapsed="false">
      <c r="I692" s="0" t="n">
        <v>172.25</v>
      </c>
      <c r="J692" s="0" t="n">
        <v>57.3</v>
      </c>
      <c r="K692" s="0" t="n">
        <v>0.3</v>
      </c>
    </row>
    <row r="693" customFormat="false" ht="12.8" hidden="false" customHeight="false" outlineLevel="0" collapsed="false">
      <c r="I693" s="0" t="n">
        <v>172.5</v>
      </c>
      <c r="J693" s="0" t="n">
        <v>57.4</v>
      </c>
      <c r="K693" s="0" t="n">
        <v>0.3</v>
      </c>
    </row>
    <row r="694" customFormat="false" ht="12.8" hidden="false" customHeight="false" outlineLevel="0" collapsed="false">
      <c r="I694" s="0" t="n">
        <v>172.75</v>
      </c>
      <c r="J694" s="0" t="n">
        <v>57.5</v>
      </c>
      <c r="K694" s="0" t="n">
        <v>0.3</v>
      </c>
    </row>
    <row r="695" customFormat="false" ht="12.8" hidden="false" customHeight="false" outlineLevel="0" collapsed="false">
      <c r="I695" s="0" t="n">
        <v>173</v>
      </c>
      <c r="J695" s="0" t="n">
        <v>57.5</v>
      </c>
      <c r="K695" s="0" t="n">
        <v>0.3</v>
      </c>
    </row>
    <row r="696" customFormat="false" ht="12.8" hidden="false" customHeight="false" outlineLevel="0" collapsed="false">
      <c r="I696" s="0" t="n">
        <v>173.25</v>
      </c>
      <c r="J696" s="0" t="n">
        <v>57.6</v>
      </c>
      <c r="K696" s="0" t="n">
        <v>0.3</v>
      </c>
    </row>
    <row r="697" customFormat="false" ht="12.8" hidden="false" customHeight="false" outlineLevel="0" collapsed="false">
      <c r="I697" s="0" t="n">
        <v>173.5</v>
      </c>
      <c r="J697" s="0" t="n">
        <v>57.7</v>
      </c>
      <c r="K697" s="0" t="n">
        <v>0.3</v>
      </c>
    </row>
    <row r="698" customFormat="false" ht="12.8" hidden="false" customHeight="false" outlineLevel="0" collapsed="false">
      <c r="I698" s="0" t="n">
        <v>173.75</v>
      </c>
      <c r="J698" s="0" t="n">
        <v>57.8</v>
      </c>
      <c r="K698" s="0" t="n">
        <v>0.3</v>
      </c>
    </row>
    <row r="699" customFormat="false" ht="12.8" hidden="false" customHeight="false" outlineLevel="0" collapsed="false">
      <c r="I699" s="0" t="n">
        <v>174</v>
      </c>
      <c r="J699" s="0" t="n">
        <v>57.9</v>
      </c>
      <c r="K699" s="0" t="n">
        <v>0.3</v>
      </c>
    </row>
    <row r="700" customFormat="false" ht="12.8" hidden="false" customHeight="false" outlineLevel="0" collapsed="false">
      <c r="I700" s="0" t="n">
        <v>174.25</v>
      </c>
      <c r="J700" s="0" t="n">
        <v>58</v>
      </c>
      <c r="K700" s="0" t="n">
        <v>0.3</v>
      </c>
    </row>
    <row r="701" customFormat="false" ht="12.8" hidden="false" customHeight="false" outlineLevel="0" collapsed="false">
      <c r="I701" s="0" t="n">
        <v>174.5</v>
      </c>
      <c r="J701" s="0" t="n">
        <v>58</v>
      </c>
      <c r="K701" s="0" t="n">
        <v>0.3</v>
      </c>
    </row>
    <row r="702" customFormat="false" ht="12.8" hidden="false" customHeight="false" outlineLevel="0" collapsed="false">
      <c r="I702" s="0" t="n">
        <v>174.75</v>
      </c>
      <c r="J702" s="0" t="n">
        <v>58.1</v>
      </c>
      <c r="K702" s="0" t="n">
        <v>0.3</v>
      </c>
    </row>
    <row r="703" customFormat="false" ht="12.8" hidden="false" customHeight="false" outlineLevel="0" collapsed="false">
      <c r="I703" s="0" t="n">
        <v>175</v>
      </c>
      <c r="J703" s="0" t="n">
        <v>58.2</v>
      </c>
      <c r="K703" s="0" t="n">
        <v>0.3</v>
      </c>
    </row>
    <row r="704" customFormat="false" ht="12.8" hidden="false" customHeight="false" outlineLevel="0" collapsed="false">
      <c r="I704" s="0" t="n">
        <v>175.25</v>
      </c>
      <c r="J704" s="0" t="n">
        <v>58.3</v>
      </c>
      <c r="K704" s="0" t="n">
        <v>0.3</v>
      </c>
    </row>
    <row r="705" customFormat="false" ht="12.8" hidden="false" customHeight="false" outlineLevel="0" collapsed="false">
      <c r="I705" s="0" t="n">
        <v>175.5</v>
      </c>
      <c r="J705" s="0" t="n">
        <v>58.4</v>
      </c>
      <c r="K705" s="0" t="n">
        <v>0.3</v>
      </c>
    </row>
    <row r="706" customFormat="false" ht="12.8" hidden="false" customHeight="false" outlineLevel="0" collapsed="false">
      <c r="I706" s="0" t="n">
        <v>175.75</v>
      </c>
      <c r="J706" s="0" t="n">
        <v>58.4</v>
      </c>
      <c r="K706" s="0" t="n">
        <v>0.3</v>
      </c>
    </row>
    <row r="707" customFormat="false" ht="12.8" hidden="false" customHeight="false" outlineLevel="0" collapsed="false">
      <c r="I707" s="0" t="n">
        <v>176</v>
      </c>
      <c r="J707" s="0" t="n">
        <v>58.5</v>
      </c>
      <c r="K707" s="0" t="n">
        <v>0.3</v>
      </c>
    </row>
    <row r="708" customFormat="false" ht="12.8" hidden="false" customHeight="false" outlineLevel="0" collapsed="false">
      <c r="I708" s="0" t="n">
        <v>176.25</v>
      </c>
      <c r="J708" s="0" t="n">
        <v>58.6</v>
      </c>
      <c r="K708" s="0" t="n">
        <v>0.3</v>
      </c>
    </row>
    <row r="709" customFormat="false" ht="12.8" hidden="false" customHeight="false" outlineLevel="0" collapsed="false">
      <c r="I709" s="0" t="n">
        <v>176.5</v>
      </c>
      <c r="J709" s="0" t="n">
        <v>58.7</v>
      </c>
      <c r="K709" s="0" t="n">
        <v>0.3</v>
      </c>
    </row>
    <row r="710" customFormat="false" ht="12.8" hidden="false" customHeight="false" outlineLevel="0" collapsed="false">
      <c r="I710" s="0" t="n">
        <v>176.75</v>
      </c>
      <c r="J710" s="0" t="n">
        <v>58.8</v>
      </c>
      <c r="K710" s="0" t="n">
        <v>0.3</v>
      </c>
    </row>
    <row r="711" customFormat="false" ht="12.8" hidden="false" customHeight="false" outlineLevel="0" collapsed="false">
      <c r="I711" s="0" t="n">
        <v>177</v>
      </c>
      <c r="J711" s="0" t="n">
        <v>58.9</v>
      </c>
      <c r="K711" s="0" t="n">
        <v>0.3</v>
      </c>
    </row>
    <row r="712" customFormat="false" ht="12.8" hidden="false" customHeight="false" outlineLevel="0" collapsed="false">
      <c r="I712" s="0" t="n">
        <v>177.25</v>
      </c>
      <c r="J712" s="0" t="n">
        <v>58.9</v>
      </c>
      <c r="K712" s="0" t="n">
        <v>0.3</v>
      </c>
    </row>
    <row r="713" customFormat="false" ht="12.8" hidden="false" customHeight="false" outlineLevel="0" collapsed="false">
      <c r="I713" s="0" t="n">
        <v>177.5</v>
      </c>
      <c r="J713" s="0" t="n">
        <v>59</v>
      </c>
      <c r="K713" s="0" t="n">
        <v>0.3</v>
      </c>
    </row>
    <row r="714" customFormat="false" ht="12.8" hidden="false" customHeight="false" outlineLevel="0" collapsed="false">
      <c r="I714" s="0" t="n">
        <v>177.75</v>
      </c>
      <c r="J714" s="0" t="n">
        <v>59.1</v>
      </c>
      <c r="K714" s="0" t="n">
        <v>0.3</v>
      </c>
    </row>
    <row r="715" customFormat="false" ht="12.8" hidden="false" customHeight="false" outlineLevel="0" collapsed="false">
      <c r="I715" s="0" t="n">
        <v>178</v>
      </c>
      <c r="J715" s="0" t="n">
        <v>59.2</v>
      </c>
      <c r="K715" s="0" t="n">
        <v>0.3</v>
      </c>
    </row>
    <row r="716" customFormat="false" ht="12.8" hidden="false" customHeight="false" outlineLevel="0" collapsed="false">
      <c r="I716" s="0" t="n">
        <v>178.25</v>
      </c>
      <c r="J716" s="0" t="n">
        <v>59.3</v>
      </c>
      <c r="K716" s="0" t="n">
        <v>0.3</v>
      </c>
    </row>
    <row r="717" customFormat="false" ht="12.8" hidden="false" customHeight="false" outlineLevel="0" collapsed="false">
      <c r="I717" s="0" t="n">
        <v>178.5</v>
      </c>
      <c r="J717" s="0" t="n">
        <v>59.4</v>
      </c>
      <c r="K717" s="0" t="n">
        <v>0.3</v>
      </c>
    </row>
    <row r="718" customFormat="false" ht="12.8" hidden="false" customHeight="false" outlineLevel="0" collapsed="false">
      <c r="I718" s="0" t="n">
        <v>178.75</v>
      </c>
      <c r="J718" s="0" t="n">
        <v>59.4</v>
      </c>
      <c r="K718" s="0" t="n">
        <v>0.3</v>
      </c>
    </row>
    <row r="719" customFormat="false" ht="12.8" hidden="false" customHeight="false" outlineLevel="0" collapsed="false">
      <c r="I719" s="0" t="n">
        <v>179</v>
      </c>
      <c r="J719" s="0" t="n">
        <v>59.5</v>
      </c>
      <c r="K719" s="0" t="n">
        <v>0.3</v>
      </c>
    </row>
    <row r="720" customFormat="false" ht="12.8" hidden="false" customHeight="false" outlineLevel="0" collapsed="false">
      <c r="I720" s="0" t="n">
        <v>179.25</v>
      </c>
      <c r="J720" s="0" t="n">
        <v>59.6</v>
      </c>
      <c r="K720" s="0" t="n">
        <v>0.3</v>
      </c>
    </row>
    <row r="721" customFormat="false" ht="12.8" hidden="false" customHeight="false" outlineLevel="0" collapsed="false">
      <c r="I721" s="0" t="n">
        <v>179.5</v>
      </c>
      <c r="J721" s="0" t="n">
        <v>59.7</v>
      </c>
      <c r="K721" s="0" t="n">
        <v>0.3</v>
      </c>
    </row>
    <row r="722" customFormat="false" ht="12.8" hidden="false" customHeight="false" outlineLevel="0" collapsed="false">
      <c r="I722" s="0" t="n">
        <v>179.75</v>
      </c>
      <c r="J722" s="0" t="n">
        <v>59.8</v>
      </c>
      <c r="K722" s="0" t="n">
        <v>0.3</v>
      </c>
    </row>
    <row r="723" customFormat="false" ht="12.8" hidden="false" customHeight="false" outlineLevel="0" collapsed="false">
      <c r="I723" s="0" t="n">
        <v>180</v>
      </c>
      <c r="J723" s="0" t="n">
        <v>59.9</v>
      </c>
      <c r="K723" s="0" t="n">
        <v>0.3</v>
      </c>
    </row>
    <row r="724" customFormat="false" ht="12.8" hidden="false" customHeight="false" outlineLevel="0" collapsed="false">
      <c r="I724" s="0" t="n">
        <v>180.25</v>
      </c>
      <c r="J724" s="0" t="n">
        <v>59.9</v>
      </c>
      <c r="K724" s="0" t="n">
        <v>0.3</v>
      </c>
    </row>
    <row r="725" customFormat="false" ht="12.8" hidden="false" customHeight="false" outlineLevel="0" collapsed="false">
      <c r="I725" s="0" t="n">
        <v>180.5</v>
      </c>
      <c r="J725" s="0" t="n">
        <v>60</v>
      </c>
      <c r="K725" s="0" t="n">
        <v>0.3</v>
      </c>
    </row>
    <row r="726" customFormat="false" ht="12.8" hidden="false" customHeight="false" outlineLevel="0" collapsed="false">
      <c r="I726" s="0" t="n">
        <v>180.75</v>
      </c>
      <c r="J726" s="0" t="n">
        <v>60.1</v>
      </c>
      <c r="K726" s="0" t="n">
        <v>0.3</v>
      </c>
    </row>
    <row r="727" customFormat="false" ht="12.8" hidden="false" customHeight="false" outlineLevel="0" collapsed="false">
      <c r="I727" s="0" t="n">
        <v>181</v>
      </c>
      <c r="J727" s="0" t="n">
        <v>60.2</v>
      </c>
      <c r="K727" s="0" t="n">
        <v>0.3</v>
      </c>
    </row>
    <row r="728" customFormat="false" ht="12.8" hidden="false" customHeight="false" outlineLevel="0" collapsed="false">
      <c r="I728" s="0" t="n">
        <v>181.25</v>
      </c>
      <c r="J728" s="0" t="n">
        <v>60.3</v>
      </c>
      <c r="K728" s="0" t="n">
        <v>0.3</v>
      </c>
    </row>
    <row r="729" customFormat="false" ht="12.8" hidden="false" customHeight="false" outlineLevel="0" collapsed="false">
      <c r="I729" s="0" t="n">
        <v>181.5</v>
      </c>
      <c r="J729" s="0" t="n">
        <v>60.3</v>
      </c>
      <c r="K729" s="0" t="n">
        <v>0.3</v>
      </c>
    </row>
    <row r="730" customFormat="false" ht="12.8" hidden="false" customHeight="false" outlineLevel="0" collapsed="false">
      <c r="I730" s="0" t="n">
        <v>181.75</v>
      </c>
      <c r="J730" s="0" t="n">
        <v>60.4</v>
      </c>
      <c r="K730" s="0" t="n">
        <v>0.3</v>
      </c>
    </row>
    <row r="731" customFormat="false" ht="12.8" hidden="false" customHeight="false" outlineLevel="0" collapsed="false">
      <c r="I731" s="0" t="n">
        <v>182</v>
      </c>
      <c r="J731" s="0" t="n">
        <v>60.5</v>
      </c>
      <c r="K731" s="0" t="n">
        <v>0.3</v>
      </c>
    </row>
    <row r="732" customFormat="false" ht="12.8" hidden="false" customHeight="false" outlineLevel="0" collapsed="false">
      <c r="I732" s="0" t="n">
        <v>182.25</v>
      </c>
      <c r="J732" s="0" t="n">
        <v>60.6</v>
      </c>
      <c r="K732" s="0" t="n">
        <v>0.3</v>
      </c>
    </row>
    <row r="733" customFormat="false" ht="12.8" hidden="false" customHeight="false" outlineLevel="0" collapsed="false">
      <c r="I733" s="0" t="n">
        <v>182.5</v>
      </c>
      <c r="J733" s="0" t="n">
        <v>60.7</v>
      </c>
      <c r="K733" s="0" t="n">
        <v>0.3</v>
      </c>
    </row>
    <row r="734" customFormat="false" ht="12.8" hidden="false" customHeight="false" outlineLevel="0" collapsed="false">
      <c r="I734" s="0" t="n">
        <v>182.75</v>
      </c>
      <c r="J734" s="0" t="n">
        <v>60.9</v>
      </c>
      <c r="K734" s="0" t="n">
        <v>0.7</v>
      </c>
    </row>
    <row r="735" customFormat="false" ht="12.8" hidden="false" customHeight="false" outlineLevel="0" collapsed="false">
      <c r="I735" s="0" t="n">
        <v>183</v>
      </c>
      <c r="J735" s="0" t="n">
        <v>61</v>
      </c>
      <c r="K735" s="0" t="n">
        <v>0.7</v>
      </c>
    </row>
    <row r="736" customFormat="false" ht="12.8" hidden="false" customHeight="false" outlineLevel="0" collapsed="false">
      <c r="I736" s="0" t="n">
        <v>183.25</v>
      </c>
      <c r="J736" s="0" t="n">
        <v>61.2</v>
      </c>
      <c r="K736" s="0" t="n">
        <v>0.7</v>
      </c>
    </row>
    <row r="737" customFormat="false" ht="12.8" hidden="false" customHeight="false" outlineLevel="0" collapsed="false">
      <c r="I737" s="0" t="n">
        <v>183.5</v>
      </c>
      <c r="J737" s="0" t="n">
        <v>61.4</v>
      </c>
      <c r="K737" s="0" t="n">
        <v>0.7</v>
      </c>
    </row>
    <row r="738" customFormat="false" ht="12.8" hidden="false" customHeight="false" outlineLevel="0" collapsed="false">
      <c r="I738" s="0" t="n">
        <v>183.75</v>
      </c>
      <c r="J738" s="0" t="n">
        <v>61.6</v>
      </c>
      <c r="K738" s="0" t="n">
        <v>0.7</v>
      </c>
    </row>
    <row r="739" customFormat="false" ht="12.8" hidden="false" customHeight="false" outlineLevel="0" collapsed="false">
      <c r="I739" s="0" t="n">
        <v>184</v>
      </c>
      <c r="J739" s="0" t="n">
        <v>61.7</v>
      </c>
      <c r="K739" s="0" t="n">
        <v>0.7</v>
      </c>
    </row>
    <row r="740" customFormat="false" ht="12.8" hidden="false" customHeight="false" outlineLevel="0" collapsed="false">
      <c r="I740" s="0" t="n">
        <v>184.25</v>
      </c>
      <c r="J740" s="0" t="n">
        <v>61.9</v>
      </c>
      <c r="K740" s="0" t="n">
        <v>0.7</v>
      </c>
    </row>
    <row r="741" customFormat="false" ht="12.8" hidden="false" customHeight="false" outlineLevel="0" collapsed="false">
      <c r="I741" s="0" t="n">
        <v>184.5</v>
      </c>
      <c r="J741" s="0" t="n">
        <v>62.1</v>
      </c>
      <c r="K741" s="0" t="n">
        <v>0.7</v>
      </c>
    </row>
    <row r="742" customFormat="false" ht="12.8" hidden="false" customHeight="false" outlineLevel="0" collapsed="false">
      <c r="I742" s="0" t="n">
        <v>184.75</v>
      </c>
      <c r="J742" s="0" t="n">
        <v>62.3</v>
      </c>
      <c r="K742" s="0" t="n">
        <v>0.7</v>
      </c>
    </row>
    <row r="743" customFormat="false" ht="12.8" hidden="false" customHeight="false" outlineLevel="0" collapsed="false">
      <c r="I743" s="0" t="n">
        <v>185</v>
      </c>
      <c r="J743" s="0" t="n">
        <v>62.4</v>
      </c>
      <c r="K743" s="0" t="n">
        <v>0.7</v>
      </c>
    </row>
    <row r="744" customFormat="false" ht="12.8" hidden="false" customHeight="false" outlineLevel="0" collapsed="false">
      <c r="I744" s="0" t="n">
        <v>185.25</v>
      </c>
      <c r="J744" s="0" t="n">
        <v>62.6</v>
      </c>
      <c r="K744" s="0" t="n">
        <v>0.7</v>
      </c>
    </row>
    <row r="745" customFormat="false" ht="12.8" hidden="false" customHeight="false" outlineLevel="0" collapsed="false">
      <c r="I745" s="0" t="n">
        <v>185.5</v>
      </c>
      <c r="J745" s="0" t="n">
        <v>62.8</v>
      </c>
      <c r="K745" s="0" t="n">
        <v>0.7</v>
      </c>
    </row>
    <row r="746" customFormat="false" ht="12.8" hidden="false" customHeight="false" outlineLevel="0" collapsed="false">
      <c r="I746" s="0" t="n">
        <v>185.75</v>
      </c>
      <c r="J746" s="0" t="n">
        <v>63</v>
      </c>
      <c r="K746" s="0" t="n">
        <v>0.7</v>
      </c>
    </row>
    <row r="747" customFormat="false" ht="12.8" hidden="false" customHeight="false" outlineLevel="0" collapsed="false">
      <c r="I747" s="0" t="n">
        <v>186</v>
      </c>
      <c r="J747" s="0" t="n">
        <v>63.2</v>
      </c>
      <c r="K747" s="0" t="n">
        <v>0.7</v>
      </c>
    </row>
    <row r="748" customFormat="false" ht="12.8" hidden="false" customHeight="false" outlineLevel="0" collapsed="false">
      <c r="I748" s="0" t="n">
        <v>186.25</v>
      </c>
      <c r="J748" s="0" t="n">
        <v>63.3</v>
      </c>
      <c r="K748" s="0" t="n">
        <v>0.7</v>
      </c>
    </row>
    <row r="749" customFormat="false" ht="12.8" hidden="false" customHeight="false" outlineLevel="0" collapsed="false">
      <c r="I749" s="0" t="n">
        <v>186.5</v>
      </c>
      <c r="J749" s="0" t="n">
        <v>63.5</v>
      </c>
      <c r="K749" s="0" t="n">
        <v>0.7</v>
      </c>
    </row>
    <row r="750" customFormat="false" ht="12.8" hidden="false" customHeight="false" outlineLevel="0" collapsed="false">
      <c r="I750" s="0" t="n">
        <v>186.75</v>
      </c>
      <c r="J750" s="0" t="n">
        <v>63.7</v>
      </c>
      <c r="K750" s="0" t="n">
        <v>0.7</v>
      </c>
    </row>
    <row r="751" customFormat="false" ht="12.8" hidden="false" customHeight="false" outlineLevel="0" collapsed="false">
      <c r="I751" s="0" t="n">
        <v>187</v>
      </c>
      <c r="J751" s="0" t="n">
        <v>63.9</v>
      </c>
      <c r="K751" s="0" t="n">
        <v>0.7</v>
      </c>
    </row>
    <row r="752" customFormat="false" ht="12.8" hidden="false" customHeight="false" outlineLevel="0" collapsed="false">
      <c r="I752" s="0" t="n">
        <v>187.25</v>
      </c>
      <c r="J752" s="0" t="n">
        <v>64</v>
      </c>
      <c r="K752" s="0" t="n">
        <v>0.7</v>
      </c>
    </row>
    <row r="753" customFormat="false" ht="12.8" hidden="false" customHeight="false" outlineLevel="0" collapsed="false">
      <c r="I753" s="0" t="n">
        <v>187.5</v>
      </c>
      <c r="J753" s="0" t="n">
        <v>64.2</v>
      </c>
      <c r="K753" s="0" t="n">
        <v>0.7</v>
      </c>
    </row>
    <row r="754" customFormat="false" ht="12.8" hidden="false" customHeight="false" outlineLevel="0" collapsed="false">
      <c r="I754" s="0" t="n">
        <v>187.75</v>
      </c>
      <c r="J754" s="0" t="n">
        <v>64.4</v>
      </c>
      <c r="K754" s="0" t="n">
        <v>0.7</v>
      </c>
    </row>
    <row r="755" customFormat="false" ht="12.8" hidden="false" customHeight="false" outlineLevel="0" collapsed="false">
      <c r="I755" s="0" t="n">
        <v>188</v>
      </c>
      <c r="J755" s="0" t="n">
        <v>64.6</v>
      </c>
      <c r="K755" s="0" t="n">
        <v>0.7</v>
      </c>
    </row>
    <row r="756" customFormat="false" ht="12.8" hidden="false" customHeight="false" outlineLevel="0" collapsed="false">
      <c r="I756" s="0" t="n">
        <v>188.25</v>
      </c>
      <c r="J756" s="0" t="n">
        <v>64.7</v>
      </c>
      <c r="K756" s="0" t="n">
        <v>0.7</v>
      </c>
    </row>
    <row r="757" customFormat="false" ht="12.8" hidden="false" customHeight="false" outlineLevel="0" collapsed="false">
      <c r="I757" s="0" t="n">
        <v>188.5</v>
      </c>
      <c r="J757" s="0" t="n">
        <v>64.9</v>
      </c>
      <c r="K757" s="0" t="n">
        <v>0.7</v>
      </c>
    </row>
    <row r="758" customFormat="false" ht="12.8" hidden="false" customHeight="false" outlineLevel="0" collapsed="false">
      <c r="I758" s="0" t="n">
        <v>188.75</v>
      </c>
      <c r="J758" s="0" t="n">
        <v>65.1</v>
      </c>
      <c r="K758" s="0" t="n">
        <v>0.7</v>
      </c>
    </row>
    <row r="759" customFormat="false" ht="12.8" hidden="false" customHeight="false" outlineLevel="0" collapsed="false">
      <c r="I759" s="0" t="n">
        <v>189</v>
      </c>
      <c r="J759" s="0" t="n">
        <v>65.3</v>
      </c>
      <c r="K759" s="0" t="n">
        <v>0.7</v>
      </c>
    </row>
    <row r="760" customFormat="false" ht="12.8" hidden="false" customHeight="false" outlineLevel="0" collapsed="false">
      <c r="I760" s="0" t="n">
        <v>189.25</v>
      </c>
      <c r="J760" s="0" t="n">
        <v>65.4</v>
      </c>
      <c r="K760" s="0" t="n">
        <v>0.7</v>
      </c>
    </row>
    <row r="761" customFormat="false" ht="12.8" hidden="false" customHeight="false" outlineLevel="0" collapsed="false">
      <c r="I761" s="0" t="n">
        <v>189.5</v>
      </c>
      <c r="J761" s="0" t="n">
        <v>71.1</v>
      </c>
      <c r="K761" s="0" t="n">
        <v>22.7</v>
      </c>
    </row>
    <row r="762" customFormat="false" ht="12.8" hidden="false" customHeight="false" outlineLevel="0" collapsed="false">
      <c r="I762" s="0" t="n">
        <v>189.75</v>
      </c>
      <c r="J762" s="0" t="n">
        <v>72.6</v>
      </c>
      <c r="K762" s="0" t="n">
        <v>6.1</v>
      </c>
    </row>
    <row r="763" customFormat="false" ht="12.8" hidden="false" customHeight="false" outlineLevel="0" collapsed="false">
      <c r="I763" s="0" t="n">
        <v>190</v>
      </c>
      <c r="J763" s="0" t="n">
        <v>74.1</v>
      </c>
      <c r="K763" s="0" t="n">
        <v>6.1</v>
      </c>
    </row>
    <row r="764" customFormat="false" ht="12.8" hidden="false" customHeight="false" outlineLevel="0" collapsed="false">
      <c r="I764" s="0" t="n">
        <v>190.25</v>
      </c>
      <c r="J764" s="0" t="n">
        <v>75.7</v>
      </c>
      <c r="K764" s="0" t="n">
        <v>6.1</v>
      </c>
    </row>
    <row r="765" customFormat="false" ht="12.8" hidden="false" customHeight="false" outlineLevel="0" collapsed="false">
      <c r="I765" s="0" t="n">
        <v>190.5</v>
      </c>
      <c r="J765" s="0" t="n">
        <v>107.8</v>
      </c>
      <c r="K765" s="0" t="n">
        <v>128.4</v>
      </c>
    </row>
    <row r="766" customFormat="false" ht="12.8" hidden="false" customHeight="false" outlineLevel="0" collapsed="false">
      <c r="I766" s="0" t="n">
        <v>190.75</v>
      </c>
      <c r="J766" s="0" t="n">
        <v>111.8</v>
      </c>
      <c r="K766" s="0" t="n">
        <v>16.2</v>
      </c>
    </row>
    <row r="767" customFormat="false" ht="12.8" hidden="false" customHeight="false" outlineLevel="0" collapsed="false">
      <c r="I767" s="0" t="n">
        <v>191</v>
      </c>
      <c r="J767" s="0" t="n">
        <v>116.8</v>
      </c>
      <c r="K767" s="0" t="n">
        <v>20.2</v>
      </c>
    </row>
    <row r="768" customFormat="false" ht="12.8" hidden="false" customHeight="false" outlineLevel="0" collapsed="false">
      <c r="I768" s="0" t="n">
        <v>191.25</v>
      </c>
      <c r="J768" s="0" t="n">
        <v>118.8</v>
      </c>
      <c r="K768" s="0" t="n">
        <v>7.8</v>
      </c>
    </row>
    <row r="769" customFormat="false" ht="12.8" hidden="false" customHeight="false" outlineLevel="0" collapsed="false">
      <c r="I769" s="0" t="n">
        <v>191.5</v>
      </c>
      <c r="J769" s="0" t="n">
        <v>120.7</v>
      </c>
      <c r="K769" s="0" t="n">
        <v>7.8</v>
      </c>
    </row>
    <row r="770" customFormat="false" ht="12.8" hidden="false" customHeight="false" outlineLevel="0" collapsed="false">
      <c r="I770" s="0" t="n">
        <v>191.75</v>
      </c>
      <c r="J770" s="0" t="n">
        <v>122.7</v>
      </c>
      <c r="K770" s="0" t="n">
        <v>7.8</v>
      </c>
    </row>
    <row r="771" customFormat="false" ht="12.8" hidden="false" customHeight="false" outlineLevel="0" collapsed="false">
      <c r="I771" s="0" t="n">
        <v>192</v>
      </c>
      <c r="J771" s="0" t="n">
        <v>124.6</v>
      </c>
      <c r="K771" s="0" t="n">
        <v>7.9</v>
      </c>
    </row>
    <row r="772" customFormat="false" ht="12.8" hidden="false" customHeight="false" outlineLevel="0" collapsed="false">
      <c r="I772" s="0" t="n">
        <v>192.25</v>
      </c>
      <c r="J772" s="0" t="n">
        <v>126.6</v>
      </c>
      <c r="K772" s="0" t="n">
        <v>7.9</v>
      </c>
    </row>
    <row r="773" customFormat="false" ht="12.8" hidden="false" customHeight="false" outlineLevel="0" collapsed="false">
      <c r="I773" s="0" t="n">
        <v>192.5</v>
      </c>
      <c r="J773" s="0" t="n">
        <v>128.5</v>
      </c>
      <c r="K773" s="0" t="n">
        <v>7.5</v>
      </c>
    </row>
    <row r="774" customFormat="false" ht="12.8" hidden="false" customHeight="false" outlineLevel="0" collapsed="false">
      <c r="I774" s="0" t="n">
        <v>192.75</v>
      </c>
      <c r="J774" s="0" t="n">
        <v>128.6</v>
      </c>
      <c r="K774" s="0" t="n">
        <v>0.3</v>
      </c>
    </row>
    <row r="775" customFormat="false" ht="12.8" hidden="false" customHeight="false" outlineLevel="0" collapsed="false">
      <c r="I775" s="0" t="n">
        <v>193</v>
      </c>
      <c r="J775" s="0" t="n">
        <v>128.6</v>
      </c>
      <c r="K775" s="0" t="n">
        <v>0.3</v>
      </c>
    </row>
    <row r="776" customFormat="false" ht="12.8" hidden="false" customHeight="false" outlineLevel="0" collapsed="false">
      <c r="I776" s="0" t="n">
        <v>193.25</v>
      </c>
      <c r="J776" s="0" t="n">
        <v>128.7</v>
      </c>
      <c r="K776" s="0" t="n">
        <v>0.3</v>
      </c>
    </row>
    <row r="777" customFormat="false" ht="12.8" hidden="false" customHeight="false" outlineLevel="0" collapsed="false">
      <c r="I777" s="0" t="n">
        <v>193.5</v>
      </c>
      <c r="J777" s="0" t="n">
        <v>128.8</v>
      </c>
      <c r="K777" s="0" t="n">
        <v>0.3</v>
      </c>
    </row>
    <row r="778" customFormat="false" ht="12.8" hidden="false" customHeight="false" outlineLevel="0" collapsed="false">
      <c r="I778" s="0" t="n">
        <v>193.75</v>
      </c>
      <c r="J778" s="0" t="n">
        <v>128.9</v>
      </c>
      <c r="K778" s="0" t="n">
        <v>0.3</v>
      </c>
    </row>
    <row r="779" customFormat="false" ht="12.8" hidden="false" customHeight="false" outlineLevel="0" collapsed="false">
      <c r="I779" s="0" t="n">
        <v>194</v>
      </c>
      <c r="J779" s="0" t="n">
        <v>128.9</v>
      </c>
      <c r="K779" s="0" t="n">
        <v>0.3</v>
      </c>
    </row>
    <row r="780" customFormat="false" ht="12.8" hidden="false" customHeight="false" outlineLevel="0" collapsed="false">
      <c r="I780" s="0" t="n">
        <v>194.25</v>
      </c>
      <c r="J780" s="0" t="n">
        <v>129</v>
      </c>
      <c r="K780" s="0" t="n">
        <v>0.3</v>
      </c>
    </row>
    <row r="781" customFormat="false" ht="12.8" hidden="false" customHeight="false" outlineLevel="0" collapsed="false">
      <c r="I781" s="0" t="n">
        <v>194.5</v>
      </c>
      <c r="J781" s="0" t="n">
        <v>129.1</v>
      </c>
      <c r="K781" s="0" t="n">
        <v>0.3</v>
      </c>
    </row>
    <row r="782" customFormat="false" ht="12.8" hidden="false" customHeight="false" outlineLevel="0" collapsed="false">
      <c r="I782" s="0" t="n">
        <v>194.75</v>
      </c>
      <c r="J782" s="0" t="n">
        <v>129.1</v>
      </c>
      <c r="K782" s="0" t="n">
        <v>0.3</v>
      </c>
    </row>
    <row r="783" customFormat="false" ht="12.8" hidden="false" customHeight="false" outlineLevel="0" collapsed="false">
      <c r="I783" s="0" t="n">
        <v>195</v>
      </c>
      <c r="J783" s="0" t="n">
        <v>129.2</v>
      </c>
      <c r="K783" s="0" t="n">
        <v>0.3</v>
      </c>
    </row>
    <row r="784" customFormat="false" ht="12.8" hidden="false" customHeight="false" outlineLevel="0" collapsed="false">
      <c r="I784" s="0" t="n">
        <v>195.25</v>
      </c>
      <c r="J784" s="0" t="n">
        <v>129.3</v>
      </c>
      <c r="K784" s="0" t="n">
        <v>0.3</v>
      </c>
    </row>
    <row r="785" customFormat="false" ht="12.8" hidden="false" customHeight="false" outlineLevel="0" collapsed="false">
      <c r="I785" s="0" t="n">
        <v>195.5</v>
      </c>
      <c r="J785" s="0" t="n">
        <v>129.3</v>
      </c>
      <c r="K785" s="0" t="n">
        <v>0.3</v>
      </c>
    </row>
    <row r="786" customFormat="false" ht="12.8" hidden="false" customHeight="false" outlineLevel="0" collapsed="false">
      <c r="I786" s="0" t="n">
        <v>195.75</v>
      </c>
      <c r="J786" s="0" t="n">
        <v>129.4</v>
      </c>
      <c r="K786" s="0" t="n">
        <v>0.3</v>
      </c>
    </row>
    <row r="787" customFormat="false" ht="12.8" hidden="false" customHeight="false" outlineLevel="0" collapsed="false">
      <c r="I787" s="0" t="n">
        <v>196</v>
      </c>
      <c r="J787" s="0" t="n">
        <v>129.5</v>
      </c>
      <c r="K787" s="0" t="n">
        <v>0.3</v>
      </c>
    </row>
    <row r="788" customFormat="false" ht="12.8" hidden="false" customHeight="false" outlineLevel="0" collapsed="false">
      <c r="I788" s="0" t="n">
        <v>196.25</v>
      </c>
      <c r="J788" s="0" t="n">
        <v>129.6</v>
      </c>
      <c r="K788" s="0" t="n">
        <v>0.3</v>
      </c>
    </row>
    <row r="789" customFormat="false" ht="12.8" hidden="false" customHeight="false" outlineLevel="0" collapsed="false">
      <c r="I789" s="0" t="n">
        <v>196.5</v>
      </c>
      <c r="J789" s="0" t="n">
        <v>129.6</v>
      </c>
      <c r="K789" s="0" t="n">
        <v>0.3</v>
      </c>
    </row>
    <row r="790" customFormat="false" ht="12.8" hidden="false" customHeight="false" outlineLevel="0" collapsed="false">
      <c r="I790" s="0" t="n">
        <v>196.75</v>
      </c>
      <c r="J790" s="0" t="n">
        <v>129.7</v>
      </c>
      <c r="K790" s="0" t="n">
        <v>0.3</v>
      </c>
    </row>
    <row r="791" customFormat="false" ht="12.8" hidden="false" customHeight="false" outlineLevel="0" collapsed="false">
      <c r="I791" s="0" t="n">
        <v>197</v>
      </c>
      <c r="J791" s="0" t="n">
        <v>129.8</v>
      </c>
      <c r="K791" s="0" t="n">
        <v>0.3</v>
      </c>
    </row>
    <row r="792" customFormat="false" ht="12.8" hidden="false" customHeight="false" outlineLevel="0" collapsed="false">
      <c r="I792" s="0" t="n">
        <v>197.25</v>
      </c>
      <c r="J792" s="0" t="n">
        <v>129.8</v>
      </c>
      <c r="K792" s="0" t="n">
        <v>0.3</v>
      </c>
    </row>
    <row r="793" customFormat="false" ht="12.8" hidden="false" customHeight="false" outlineLevel="0" collapsed="false">
      <c r="I793" s="0" t="n">
        <v>197.5</v>
      </c>
      <c r="J793" s="0" t="n">
        <v>129.9</v>
      </c>
      <c r="K793" s="0" t="n">
        <v>0.3</v>
      </c>
    </row>
    <row r="794" customFormat="false" ht="12.8" hidden="false" customHeight="false" outlineLevel="0" collapsed="false">
      <c r="I794" s="0" t="n">
        <v>197.75</v>
      </c>
      <c r="J794" s="0" t="n">
        <v>130</v>
      </c>
      <c r="K794" s="0" t="n">
        <v>0.3</v>
      </c>
    </row>
    <row r="795" customFormat="false" ht="12.8" hidden="false" customHeight="false" outlineLevel="0" collapsed="false">
      <c r="I795" s="0" t="n">
        <v>198</v>
      </c>
      <c r="J795" s="0" t="n">
        <v>130.1</v>
      </c>
      <c r="K795" s="0" t="n">
        <v>0.3</v>
      </c>
    </row>
    <row r="796" customFormat="false" ht="12.8" hidden="false" customHeight="false" outlineLevel="0" collapsed="false">
      <c r="I796" s="0" t="n">
        <v>198.25</v>
      </c>
      <c r="J796" s="0" t="n">
        <v>130.1</v>
      </c>
      <c r="K796" s="0" t="n">
        <v>0.3</v>
      </c>
    </row>
    <row r="797" customFormat="false" ht="12.8" hidden="false" customHeight="false" outlineLevel="0" collapsed="false">
      <c r="I797" s="0" t="n">
        <v>198.5</v>
      </c>
      <c r="J797" s="0" t="n">
        <v>130.2</v>
      </c>
      <c r="K797" s="0" t="n">
        <v>0.3</v>
      </c>
    </row>
    <row r="798" customFormat="false" ht="12.8" hidden="false" customHeight="false" outlineLevel="0" collapsed="false">
      <c r="I798" s="0" t="n">
        <v>198.75</v>
      </c>
      <c r="J798" s="0" t="n">
        <v>130.3</v>
      </c>
      <c r="K798" s="0" t="n">
        <v>0.3</v>
      </c>
    </row>
    <row r="799" customFormat="false" ht="12.8" hidden="false" customHeight="false" outlineLevel="0" collapsed="false">
      <c r="I799" s="0" t="n">
        <v>199</v>
      </c>
      <c r="J799" s="0" t="n">
        <v>130.3</v>
      </c>
      <c r="K799" s="0" t="n">
        <v>0.3</v>
      </c>
    </row>
    <row r="800" customFormat="false" ht="12.8" hidden="false" customHeight="false" outlineLevel="0" collapsed="false">
      <c r="I800" s="0" t="n">
        <v>199.25</v>
      </c>
      <c r="J800" s="0" t="n">
        <v>130.4</v>
      </c>
      <c r="K800" s="0" t="n">
        <v>0.3</v>
      </c>
    </row>
    <row r="801" customFormat="false" ht="12.8" hidden="false" customHeight="false" outlineLevel="0" collapsed="false">
      <c r="I801" s="0" t="n">
        <v>199.5</v>
      </c>
      <c r="J801" s="0" t="n">
        <v>130.5</v>
      </c>
      <c r="K801" s="0" t="n">
        <v>0.3</v>
      </c>
    </row>
    <row r="802" customFormat="false" ht="12.8" hidden="false" customHeight="false" outlineLevel="0" collapsed="false">
      <c r="I802" s="0" t="n">
        <v>199.75</v>
      </c>
      <c r="J802" s="0" t="n">
        <v>130.6</v>
      </c>
      <c r="K802" s="0" t="n">
        <v>0.3</v>
      </c>
    </row>
    <row r="803" customFormat="false" ht="12.8" hidden="false" customHeight="false" outlineLevel="0" collapsed="false">
      <c r="I803" s="0" t="n">
        <v>200</v>
      </c>
      <c r="J803" s="0" t="n">
        <v>130.6</v>
      </c>
      <c r="K803" s="0" t="n">
        <v>0.3</v>
      </c>
    </row>
    <row r="804" customFormat="false" ht="12.8" hidden="false" customHeight="false" outlineLevel="0" collapsed="false">
      <c r="I804" s="0" t="n">
        <v>200.25</v>
      </c>
      <c r="J804" s="0" t="n">
        <v>130.7</v>
      </c>
      <c r="K804" s="0" t="n">
        <v>0.3</v>
      </c>
    </row>
    <row r="805" customFormat="false" ht="12.8" hidden="false" customHeight="false" outlineLevel="0" collapsed="false">
      <c r="I805" s="0" t="n">
        <v>200.5</v>
      </c>
      <c r="J805" s="0" t="n">
        <v>130.8</v>
      </c>
      <c r="K805" s="0" t="n">
        <v>0.3</v>
      </c>
    </row>
    <row r="806" customFormat="false" ht="12.8" hidden="false" customHeight="false" outlineLevel="0" collapsed="false">
      <c r="I806" s="0" t="n">
        <v>200.75</v>
      </c>
      <c r="J806" s="0" t="n">
        <v>130.8</v>
      </c>
      <c r="K806" s="0" t="n">
        <v>0.3</v>
      </c>
    </row>
    <row r="807" customFormat="false" ht="12.8" hidden="false" customHeight="false" outlineLevel="0" collapsed="false">
      <c r="I807" s="0" t="n">
        <v>201</v>
      </c>
      <c r="J807" s="0" t="n">
        <v>130.9</v>
      </c>
      <c r="K807" s="0" t="n">
        <v>0.3</v>
      </c>
    </row>
    <row r="808" customFormat="false" ht="12.8" hidden="false" customHeight="false" outlineLevel="0" collapsed="false">
      <c r="I808" s="0" t="n">
        <v>201.25</v>
      </c>
      <c r="J808" s="0" t="n">
        <v>131</v>
      </c>
      <c r="K808" s="0" t="n">
        <v>0.3</v>
      </c>
    </row>
    <row r="809" customFormat="false" ht="12.8" hidden="false" customHeight="false" outlineLevel="0" collapsed="false">
      <c r="I809" s="0" t="n">
        <v>201.5</v>
      </c>
      <c r="J809" s="0" t="n">
        <v>131</v>
      </c>
      <c r="K809" s="0" t="n">
        <v>0.3</v>
      </c>
    </row>
    <row r="810" customFormat="false" ht="12.8" hidden="false" customHeight="false" outlineLevel="0" collapsed="false">
      <c r="I810" s="0" t="n">
        <v>201.75</v>
      </c>
      <c r="J810" s="0" t="n">
        <v>131.1</v>
      </c>
      <c r="K810" s="0" t="n">
        <v>0.3</v>
      </c>
    </row>
    <row r="811" customFormat="false" ht="12.8" hidden="false" customHeight="false" outlineLevel="0" collapsed="false">
      <c r="I811" s="0" t="n">
        <v>202</v>
      </c>
      <c r="J811" s="0" t="n">
        <v>131.2</v>
      </c>
      <c r="K811" s="0" t="n">
        <v>0.3</v>
      </c>
    </row>
    <row r="812" customFormat="false" ht="12.8" hidden="false" customHeight="false" outlineLevel="0" collapsed="false">
      <c r="I812" s="0" t="n">
        <v>202.25</v>
      </c>
      <c r="J812" s="0" t="n">
        <v>131.3</v>
      </c>
      <c r="K812" s="0" t="n">
        <v>0.3</v>
      </c>
    </row>
    <row r="813" customFormat="false" ht="12.8" hidden="false" customHeight="false" outlineLevel="0" collapsed="false">
      <c r="I813" s="0" t="n">
        <v>202.5</v>
      </c>
      <c r="J813" s="0" t="n">
        <v>131.3</v>
      </c>
      <c r="K813" s="0" t="n">
        <v>0.3</v>
      </c>
    </row>
    <row r="814" customFormat="false" ht="12.8" hidden="false" customHeight="false" outlineLevel="0" collapsed="false">
      <c r="I814" s="0" t="n">
        <v>202.75</v>
      </c>
      <c r="J814" s="0" t="n">
        <v>131.4</v>
      </c>
      <c r="K814" s="0" t="n">
        <v>0.3</v>
      </c>
    </row>
    <row r="815" customFormat="false" ht="12.8" hidden="false" customHeight="false" outlineLevel="0" collapsed="false">
      <c r="I815" s="0" t="n">
        <v>203</v>
      </c>
      <c r="J815" s="0" t="n">
        <v>131.5</v>
      </c>
      <c r="K815" s="0" t="n">
        <v>0.3</v>
      </c>
    </row>
    <row r="816" customFormat="false" ht="12.8" hidden="false" customHeight="false" outlineLevel="0" collapsed="false">
      <c r="I816" s="0" t="n">
        <v>203.25</v>
      </c>
      <c r="J816" s="0" t="n">
        <v>131.5</v>
      </c>
      <c r="K816" s="0" t="n">
        <v>0.3</v>
      </c>
    </row>
    <row r="817" customFormat="false" ht="12.8" hidden="false" customHeight="false" outlineLevel="0" collapsed="false">
      <c r="I817" s="0" t="n">
        <v>203.5</v>
      </c>
      <c r="J817" s="0" t="n">
        <v>131.6</v>
      </c>
      <c r="K817" s="0" t="n">
        <v>0.3</v>
      </c>
    </row>
    <row r="818" customFormat="false" ht="12.8" hidden="false" customHeight="false" outlineLevel="0" collapsed="false">
      <c r="I818" s="0" t="n">
        <v>203.75</v>
      </c>
      <c r="J818" s="0" t="n">
        <v>131.7</v>
      </c>
      <c r="K818" s="0" t="n">
        <v>0.3</v>
      </c>
    </row>
    <row r="819" customFormat="false" ht="12.8" hidden="false" customHeight="false" outlineLevel="0" collapsed="false">
      <c r="I819" s="0" t="n">
        <v>204</v>
      </c>
      <c r="J819" s="0" t="n">
        <v>131.8</v>
      </c>
      <c r="K819" s="0" t="n">
        <v>0.3</v>
      </c>
    </row>
    <row r="820" customFormat="false" ht="12.8" hidden="false" customHeight="false" outlineLevel="0" collapsed="false">
      <c r="I820" s="0" t="n">
        <v>204.25</v>
      </c>
      <c r="J820" s="0" t="n">
        <v>131.8</v>
      </c>
      <c r="K820" s="0" t="n">
        <v>0.3</v>
      </c>
    </row>
    <row r="821" customFormat="false" ht="12.8" hidden="false" customHeight="false" outlineLevel="0" collapsed="false">
      <c r="I821" s="0" t="n">
        <v>204.5</v>
      </c>
      <c r="J821" s="0" t="n">
        <v>131.9</v>
      </c>
      <c r="K821" s="0" t="n">
        <v>0.3</v>
      </c>
    </row>
    <row r="822" customFormat="false" ht="12.8" hidden="false" customHeight="false" outlineLevel="0" collapsed="false">
      <c r="I822" s="0" t="n">
        <v>204.75</v>
      </c>
      <c r="J822" s="0" t="n">
        <v>132</v>
      </c>
      <c r="K822" s="0" t="n">
        <v>0.3</v>
      </c>
    </row>
    <row r="823" customFormat="false" ht="12.8" hidden="false" customHeight="false" outlineLevel="0" collapsed="false">
      <c r="I823" s="0" t="n">
        <v>205</v>
      </c>
      <c r="J823" s="0" t="n">
        <v>132</v>
      </c>
      <c r="K823" s="0" t="n">
        <v>0.3</v>
      </c>
    </row>
    <row r="824" customFormat="false" ht="12.8" hidden="false" customHeight="false" outlineLevel="0" collapsed="false">
      <c r="I824" s="0" t="n">
        <v>205.25</v>
      </c>
      <c r="J824" s="0" t="n">
        <v>132.1</v>
      </c>
      <c r="K824" s="0" t="n">
        <v>0.3</v>
      </c>
    </row>
    <row r="825" customFormat="false" ht="12.8" hidden="false" customHeight="false" outlineLevel="0" collapsed="false">
      <c r="I825" s="0" t="n">
        <v>205.5</v>
      </c>
      <c r="J825" s="0" t="n">
        <v>132.2</v>
      </c>
      <c r="K825" s="0" t="n">
        <v>0.3</v>
      </c>
    </row>
    <row r="826" customFormat="false" ht="12.8" hidden="false" customHeight="false" outlineLevel="0" collapsed="false">
      <c r="I826" s="0" t="n">
        <v>205.75</v>
      </c>
      <c r="J826" s="0" t="n">
        <v>132.3</v>
      </c>
      <c r="K826" s="0" t="n">
        <v>0.3</v>
      </c>
    </row>
    <row r="827" customFormat="false" ht="12.8" hidden="false" customHeight="false" outlineLevel="0" collapsed="false">
      <c r="I827" s="0" t="n">
        <v>206</v>
      </c>
      <c r="J827" s="0" t="n">
        <v>132.3</v>
      </c>
      <c r="K827" s="0" t="n">
        <v>0.3</v>
      </c>
    </row>
    <row r="828" customFormat="false" ht="12.8" hidden="false" customHeight="false" outlineLevel="0" collapsed="false">
      <c r="I828" s="0" t="n">
        <v>206.25</v>
      </c>
      <c r="J828" s="0" t="n">
        <v>132.4</v>
      </c>
      <c r="K828" s="0" t="n">
        <v>0.3</v>
      </c>
    </row>
    <row r="829" customFormat="false" ht="12.8" hidden="false" customHeight="false" outlineLevel="0" collapsed="false">
      <c r="I829" s="0" t="n">
        <v>206.5</v>
      </c>
      <c r="J829" s="0" t="n">
        <v>132.5</v>
      </c>
      <c r="K829" s="0" t="n">
        <v>0.3</v>
      </c>
    </row>
    <row r="830" customFormat="false" ht="12.8" hidden="false" customHeight="false" outlineLevel="0" collapsed="false">
      <c r="I830" s="0" t="n">
        <v>206.75</v>
      </c>
      <c r="J830" s="0" t="n">
        <v>132.5</v>
      </c>
      <c r="K830" s="0" t="n">
        <v>0.3</v>
      </c>
    </row>
    <row r="831" customFormat="false" ht="12.8" hidden="false" customHeight="false" outlineLevel="0" collapsed="false">
      <c r="I831" s="0" t="n">
        <v>207</v>
      </c>
      <c r="J831" s="0" t="n">
        <v>132.6</v>
      </c>
      <c r="K831" s="0" t="n">
        <v>0.3</v>
      </c>
    </row>
    <row r="832" customFormat="false" ht="12.8" hidden="false" customHeight="false" outlineLevel="0" collapsed="false">
      <c r="I832" s="0" t="n">
        <v>207.25</v>
      </c>
      <c r="J832" s="0" t="n">
        <v>132.7</v>
      </c>
      <c r="K832" s="0" t="n">
        <v>0.3</v>
      </c>
    </row>
    <row r="833" customFormat="false" ht="12.8" hidden="false" customHeight="false" outlineLevel="0" collapsed="false">
      <c r="I833" s="0" t="n">
        <v>207.5</v>
      </c>
      <c r="J833" s="0" t="n">
        <v>132.7</v>
      </c>
      <c r="K833" s="0" t="n">
        <v>0.3</v>
      </c>
    </row>
    <row r="834" customFormat="false" ht="12.8" hidden="false" customHeight="false" outlineLevel="0" collapsed="false">
      <c r="I834" s="0" t="n">
        <v>207.75</v>
      </c>
      <c r="J834" s="0" t="n">
        <v>132.8</v>
      </c>
      <c r="K834" s="0" t="n">
        <v>0.3</v>
      </c>
    </row>
    <row r="835" customFormat="false" ht="12.8" hidden="false" customHeight="false" outlineLevel="0" collapsed="false">
      <c r="I835" s="0" t="n">
        <v>208</v>
      </c>
      <c r="J835" s="0" t="n">
        <v>132.9</v>
      </c>
      <c r="K835" s="0" t="n">
        <v>0.3</v>
      </c>
    </row>
    <row r="836" customFormat="false" ht="12.8" hidden="false" customHeight="false" outlineLevel="0" collapsed="false">
      <c r="I836" s="0" t="n">
        <v>208.25</v>
      </c>
      <c r="J836" s="0" t="n">
        <v>133</v>
      </c>
      <c r="K836" s="0" t="n">
        <v>0.3</v>
      </c>
    </row>
    <row r="837" customFormat="false" ht="12.8" hidden="false" customHeight="false" outlineLevel="0" collapsed="false">
      <c r="I837" s="0" t="n">
        <v>208.5</v>
      </c>
      <c r="J837" s="0" t="n">
        <v>133</v>
      </c>
      <c r="K837" s="0" t="n">
        <v>0.3</v>
      </c>
    </row>
    <row r="838" customFormat="false" ht="12.8" hidden="false" customHeight="false" outlineLevel="0" collapsed="false">
      <c r="I838" s="0" t="n">
        <v>208.75</v>
      </c>
      <c r="J838" s="0" t="n">
        <v>133.1</v>
      </c>
      <c r="K838" s="0" t="n">
        <v>0.3</v>
      </c>
    </row>
    <row r="839" customFormat="false" ht="12.8" hidden="false" customHeight="false" outlineLevel="0" collapsed="false">
      <c r="I839" s="0" t="n">
        <v>209</v>
      </c>
      <c r="J839" s="0" t="n">
        <v>133.2</v>
      </c>
      <c r="K839" s="0" t="n">
        <v>0.3</v>
      </c>
    </row>
    <row r="840" customFormat="false" ht="12.8" hidden="false" customHeight="false" outlineLevel="0" collapsed="false">
      <c r="I840" s="0" t="n">
        <v>209.25</v>
      </c>
      <c r="J840" s="0" t="n">
        <v>133.2</v>
      </c>
      <c r="K840" s="0" t="n">
        <v>0.3</v>
      </c>
    </row>
    <row r="841" customFormat="false" ht="12.8" hidden="false" customHeight="false" outlineLevel="0" collapsed="false">
      <c r="I841" s="0" t="n">
        <v>209.5</v>
      </c>
      <c r="J841" s="0" t="n">
        <v>133.3</v>
      </c>
      <c r="K841" s="0" t="n">
        <v>0.3</v>
      </c>
    </row>
    <row r="842" customFormat="false" ht="12.8" hidden="false" customHeight="false" outlineLevel="0" collapsed="false">
      <c r="I842" s="0" t="n">
        <v>209.75</v>
      </c>
      <c r="J842" s="0" t="n">
        <v>133.4</v>
      </c>
      <c r="K842" s="0" t="n">
        <v>0.3</v>
      </c>
    </row>
    <row r="843" customFormat="false" ht="12.8" hidden="false" customHeight="false" outlineLevel="0" collapsed="false">
      <c r="I843" s="0" t="n">
        <v>210</v>
      </c>
      <c r="J843" s="0" t="n">
        <v>133.5</v>
      </c>
      <c r="K843" s="0" t="n">
        <v>0.3</v>
      </c>
    </row>
    <row r="844" customFormat="false" ht="12.8" hidden="false" customHeight="false" outlineLevel="0" collapsed="false">
      <c r="I844" s="0" t="n">
        <v>210.25</v>
      </c>
      <c r="J844" s="0" t="n">
        <v>133.5</v>
      </c>
      <c r="K844" s="0" t="n">
        <v>0.3</v>
      </c>
    </row>
    <row r="845" customFormat="false" ht="12.8" hidden="false" customHeight="false" outlineLevel="0" collapsed="false">
      <c r="I845" s="0" t="n">
        <v>210.5</v>
      </c>
      <c r="J845" s="0" t="n">
        <v>133.6</v>
      </c>
      <c r="K845" s="0" t="n">
        <v>0.3</v>
      </c>
    </row>
    <row r="846" customFormat="false" ht="12.8" hidden="false" customHeight="false" outlineLevel="0" collapsed="false">
      <c r="I846" s="0" t="n">
        <v>210.75</v>
      </c>
      <c r="J846" s="0" t="n">
        <v>133.7</v>
      </c>
      <c r="K846" s="0" t="n">
        <v>0.3</v>
      </c>
    </row>
    <row r="847" customFormat="false" ht="12.8" hidden="false" customHeight="false" outlineLevel="0" collapsed="false">
      <c r="I847" s="0" t="n">
        <v>211</v>
      </c>
      <c r="J847" s="0" t="n">
        <v>133.7</v>
      </c>
      <c r="K847" s="0" t="n">
        <v>0.3</v>
      </c>
    </row>
    <row r="848" customFormat="false" ht="12.8" hidden="false" customHeight="false" outlineLevel="0" collapsed="false">
      <c r="I848" s="0" t="n">
        <v>211.25</v>
      </c>
      <c r="J848" s="0" t="n">
        <v>133.8</v>
      </c>
      <c r="K848" s="0" t="n">
        <v>0.3</v>
      </c>
    </row>
    <row r="849" customFormat="false" ht="12.8" hidden="false" customHeight="false" outlineLevel="0" collapsed="false">
      <c r="I849" s="0" t="n">
        <v>211.5</v>
      </c>
      <c r="J849" s="0" t="n">
        <v>133.9</v>
      </c>
      <c r="K849" s="0" t="n">
        <v>0.3</v>
      </c>
    </row>
    <row r="850" customFormat="false" ht="12.8" hidden="false" customHeight="false" outlineLevel="0" collapsed="false">
      <c r="I850" s="0" t="n">
        <v>211.75</v>
      </c>
      <c r="J850" s="0" t="n">
        <v>133.9</v>
      </c>
      <c r="K850" s="0" t="n">
        <v>0.3</v>
      </c>
    </row>
    <row r="851" customFormat="false" ht="12.8" hidden="false" customHeight="false" outlineLevel="0" collapsed="false">
      <c r="I851" s="0" t="n">
        <v>212</v>
      </c>
      <c r="J851" s="0" t="n">
        <v>134</v>
      </c>
      <c r="K851" s="0" t="n">
        <v>0.3</v>
      </c>
    </row>
    <row r="852" customFormat="false" ht="12.8" hidden="false" customHeight="false" outlineLevel="0" collapsed="false">
      <c r="I852" s="0" t="n">
        <v>212.25</v>
      </c>
      <c r="J852" s="0" t="n">
        <v>134.1</v>
      </c>
      <c r="K852" s="0" t="n">
        <v>0.3</v>
      </c>
    </row>
    <row r="853" customFormat="false" ht="12.8" hidden="false" customHeight="false" outlineLevel="0" collapsed="false">
      <c r="I853" s="0" t="n">
        <v>212.5</v>
      </c>
      <c r="J853" s="0" t="n">
        <v>134.2</v>
      </c>
      <c r="K853" s="0" t="n">
        <v>0.3</v>
      </c>
    </row>
    <row r="854" customFormat="false" ht="12.8" hidden="false" customHeight="false" outlineLevel="0" collapsed="false">
      <c r="I854" s="0" t="n">
        <v>212.75</v>
      </c>
      <c r="J854" s="0" t="n">
        <v>134.2</v>
      </c>
      <c r="K854" s="0" t="n">
        <v>0.3</v>
      </c>
    </row>
    <row r="855" customFormat="false" ht="12.8" hidden="false" customHeight="false" outlineLevel="0" collapsed="false">
      <c r="I855" s="0" t="n">
        <v>213</v>
      </c>
      <c r="J855" s="0" t="n">
        <v>134.3</v>
      </c>
      <c r="K855" s="0" t="n">
        <v>0.3</v>
      </c>
    </row>
    <row r="856" customFormat="false" ht="12.8" hidden="false" customHeight="false" outlineLevel="0" collapsed="false">
      <c r="I856" s="0" t="n">
        <v>213.25</v>
      </c>
      <c r="J856" s="0" t="n">
        <v>134.4</v>
      </c>
      <c r="K856" s="0" t="n">
        <v>0.3</v>
      </c>
    </row>
    <row r="857" customFormat="false" ht="12.8" hidden="false" customHeight="false" outlineLevel="0" collapsed="false">
      <c r="I857" s="0" t="n">
        <v>213.5</v>
      </c>
      <c r="J857" s="0" t="n">
        <v>134.4</v>
      </c>
      <c r="K857" s="0" t="n">
        <v>0.3</v>
      </c>
    </row>
    <row r="858" customFormat="false" ht="12.8" hidden="false" customHeight="false" outlineLevel="0" collapsed="false">
      <c r="I858" s="0" t="n">
        <v>213.75</v>
      </c>
      <c r="J858" s="0" t="n">
        <v>134.5</v>
      </c>
      <c r="K858" s="0" t="n">
        <v>0.3</v>
      </c>
    </row>
    <row r="859" customFormat="false" ht="12.8" hidden="false" customHeight="false" outlineLevel="0" collapsed="false">
      <c r="I859" s="0" t="n">
        <v>214</v>
      </c>
      <c r="J859" s="0" t="n">
        <v>136.7</v>
      </c>
      <c r="K859" s="0" t="n">
        <v>8.9</v>
      </c>
    </row>
    <row r="860" customFormat="false" ht="12.8" hidden="false" customHeight="false" outlineLevel="0" collapsed="false">
      <c r="I860" s="0" t="n">
        <v>214.25</v>
      </c>
      <c r="J860" s="0" t="n">
        <v>139</v>
      </c>
      <c r="K860" s="0" t="n">
        <v>8.9</v>
      </c>
    </row>
    <row r="861" customFormat="false" ht="12.8" hidden="false" customHeight="false" outlineLevel="0" collapsed="false">
      <c r="I861" s="0" t="n">
        <v>214.5</v>
      </c>
      <c r="J861" s="0" t="n">
        <v>141</v>
      </c>
      <c r="K861" s="0" t="n">
        <v>8</v>
      </c>
    </row>
    <row r="862" customFormat="false" ht="12.8" hidden="false" customHeight="false" outlineLevel="0" collapsed="false">
      <c r="I862" s="0" t="n">
        <v>214.75</v>
      </c>
      <c r="J862" s="0" t="n">
        <v>142.3</v>
      </c>
      <c r="K862" s="0" t="n">
        <v>5.5</v>
      </c>
    </row>
    <row r="863" customFormat="false" ht="12.8" hidden="false" customHeight="false" outlineLevel="0" collapsed="false">
      <c r="I863" s="0" t="n">
        <v>215</v>
      </c>
      <c r="J863" s="0" t="n">
        <v>143.7</v>
      </c>
      <c r="K863" s="0" t="n">
        <v>5.5</v>
      </c>
    </row>
    <row r="864" customFormat="false" ht="12.8" hidden="false" customHeight="false" outlineLevel="0" collapsed="false">
      <c r="I864" s="0" t="n">
        <v>215.25</v>
      </c>
      <c r="J864" s="0" t="n">
        <v>145.1</v>
      </c>
      <c r="K864" s="0" t="n">
        <v>5.5</v>
      </c>
    </row>
    <row r="865" customFormat="false" ht="12.8" hidden="false" customHeight="false" outlineLevel="0" collapsed="false">
      <c r="I865" s="0" t="n">
        <v>215.5</v>
      </c>
      <c r="J865" s="0" t="n">
        <v>146.5</v>
      </c>
      <c r="K865" s="0" t="n">
        <v>5.5</v>
      </c>
    </row>
    <row r="866" customFormat="false" ht="12.8" hidden="false" customHeight="false" outlineLevel="0" collapsed="false">
      <c r="I866" s="0" t="n">
        <v>215.75</v>
      </c>
      <c r="J866" s="0" t="n">
        <v>147.8</v>
      </c>
      <c r="K866" s="0" t="n">
        <v>5.2</v>
      </c>
    </row>
    <row r="867" customFormat="false" ht="12.8" hidden="false" customHeight="false" outlineLevel="0" collapsed="false">
      <c r="I867" s="0" t="n">
        <v>216</v>
      </c>
      <c r="J867" s="0" t="n">
        <v>149.1</v>
      </c>
      <c r="K867" s="0" t="n">
        <v>5.2</v>
      </c>
    </row>
    <row r="868" customFormat="false" ht="12.8" hidden="false" customHeight="false" outlineLevel="0" collapsed="false">
      <c r="I868" s="0" t="n">
        <v>216.25</v>
      </c>
      <c r="J868" s="0" t="n">
        <v>150.4</v>
      </c>
      <c r="K868" s="0" t="n">
        <v>5.2</v>
      </c>
    </row>
    <row r="869" customFormat="false" ht="12.8" hidden="false" customHeight="false" outlineLevel="0" collapsed="false">
      <c r="I869" s="0" t="n">
        <v>216.5</v>
      </c>
      <c r="J869" s="0" t="n">
        <v>151.7</v>
      </c>
      <c r="K869" s="0" t="n">
        <v>5.2</v>
      </c>
    </row>
    <row r="870" customFormat="false" ht="12.8" hidden="false" customHeight="false" outlineLevel="0" collapsed="false">
      <c r="I870" s="0" t="n">
        <v>216.75</v>
      </c>
      <c r="J870" s="0" t="n">
        <v>153</v>
      </c>
      <c r="K870" s="0" t="n">
        <v>5.2</v>
      </c>
    </row>
    <row r="871" customFormat="false" ht="12.8" hidden="false" customHeight="false" outlineLevel="0" collapsed="false">
      <c r="I871" s="0" t="n">
        <v>217</v>
      </c>
      <c r="J871" s="0" t="n">
        <v>153.8</v>
      </c>
      <c r="K871" s="0" t="n">
        <v>3.5</v>
      </c>
    </row>
    <row r="872" customFormat="false" ht="12.8" hidden="false" customHeight="false" outlineLevel="0" collapsed="false">
      <c r="I872" s="0" t="n">
        <v>217.25</v>
      </c>
      <c r="J872" s="0" t="n">
        <v>154.7</v>
      </c>
      <c r="K872" s="0" t="n">
        <v>3.5</v>
      </c>
    </row>
    <row r="873" customFormat="false" ht="12.8" hidden="false" customHeight="false" outlineLevel="0" collapsed="false">
      <c r="I873" s="0" t="n">
        <v>217.5</v>
      </c>
      <c r="J873" s="0" t="n">
        <v>155.6</v>
      </c>
      <c r="K873" s="0" t="n">
        <v>3.5</v>
      </c>
    </row>
    <row r="874" customFormat="false" ht="12.8" hidden="false" customHeight="false" outlineLevel="0" collapsed="false">
      <c r="I874" s="0" t="n">
        <v>217.75</v>
      </c>
      <c r="J874" s="0" t="n">
        <v>156.5</v>
      </c>
      <c r="K874" s="0" t="n">
        <v>3.5</v>
      </c>
    </row>
    <row r="875" customFormat="false" ht="12.8" hidden="false" customHeight="false" outlineLevel="0" collapsed="false">
      <c r="I875" s="0" t="n">
        <v>218</v>
      </c>
      <c r="J875" s="0" t="n">
        <v>157.3</v>
      </c>
      <c r="K875" s="0" t="n">
        <v>3.5</v>
      </c>
    </row>
    <row r="876" customFormat="false" ht="12.8" hidden="false" customHeight="false" outlineLevel="0" collapsed="false">
      <c r="I876" s="0" t="n">
        <v>218.25</v>
      </c>
      <c r="J876" s="0" t="n">
        <v>158.2</v>
      </c>
      <c r="K876" s="0" t="n">
        <v>3.5</v>
      </c>
    </row>
    <row r="877" customFormat="false" ht="12.8" hidden="false" customHeight="false" outlineLevel="0" collapsed="false">
      <c r="I877" s="0" t="n">
        <v>218.5</v>
      </c>
      <c r="J877" s="0" t="n">
        <v>159.1</v>
      </c>
      <c r="K877" s="0" t="n">
        <v>3.5</v>
      </c>
    </row>
    <row r="878" customFormat="false" ht="12.8" hidden="false" customHeight="false" outlineLevel="0" collapsed="false">
      <c r="I878" s="0" t="n">
        <v>218.75</v>
      </c>
      <c r="J878" s="0" t="n">
        <v>159.8</v>
      </c>
      <c r="K878" s="0" t="n">
        <v>2.8</v>
      </c>
    </row>
    <row r="879" customFormat="false" ht="12.8" hidden="false" customHeight="false" outlineLevel="0" collapsed="false">
      <c r="I879" s="0" t="n">
        <v>219</v>
      </c>
      <c r="J879" s="0" t="n">
        <v>160.5</v>
      </c>
      <c r="K879" s="0" t="n">
        <v>2.7</v>
      </c>
    </row>
    <row r="880" customFormat="false" ht="12.8" hidden="false" customHeight="false" outlineLevel="0" collapsed="false">
      <c r="I880" s="0" t="n">
        <v>219.25</v>
      </c>
      <c r="J880" s="0" t="n">
        <v>161.1</v>
      </c>
      <c r="K880" s="0" t="n">
        <v>2.7</v>
      </c>
    </row>
    <row r="881" customFormat="false" ht="12.8" hidden="false" customHeight="false" outlineLevel="0" collapsed="false">
      <c r="I881" s="0" t="n">
        <v>219.5</v>
      </c>
      <c r="J881" s="0" t="n">
        <v>161.8</v>
      </c>
      <c r="K881" s="0" t="n">
        <v>2.7</v>
      </c>
    </row>
    <row r="882" customFormat="false" ht="12.8" hidden="false" customHeight="false" outlineLevel="0" collapsed="false">
      <c r="I882" s="0" t="n">
        <v>219.75</v>
      </c>
      <c r="J882" s="0" t="n">
        <v>162.5</v>
      </c>
      <c r="K882" s="0" t="n">
        <v>2.7</v>
      </c>
    </row>
    <row r="883" customFormat="false" ht="12.8" hidden="false" customHeight="false" outlineLevel="0" collapsed="false">
      <c r="I883" s="0" t="n">
        <v>220</v>
      </c>
      <c r="J883" s="0" t="n">
        <v>163.1</v>
      </c>
      <c r="K883" s="0" t="n">
        <v>2.7</v>
      </c>
    </row>
    <row r="884" customFormat="false" ht="12.8" hidden="false" customHeight="false" outlineLevel="0" collapsed="false">
      <c r="I884" s="0" t="n">
        <v>220.25</v>
      </c>
      <c r="J884" s="0" t="n">
        <v>163.8</v>
      </c>
      <c r="K884" s="0" t="n">
        <v>2.7</v>
      </c>
    </row>
    <row r="885" customFormat="false" ht="12.8" hidden="false" customHeight="false" outlineLevel="0" collapsed="false">
      <c r="I885" s="0" t="n">
        <v>220.5</v>
      </c>
      <c r="J885" s="0" t="n">
        <v>164.5</v>
      </c>
      <c r="K885" s="0" t="n">
        <v>2.7</v>
      </c>
    </row>
    <row r="886" customFormat="false" ht="12.8" hidden="false" customHeight="false" outlineLevel="0" collapsed="false">
      <c r="I886" s="0" t="n">
        <v>220.75</v>
      </c>
      <c r="J886" s="0" t="n">
        <v>165.2</v>
      </c>
      <c r="K886" s="0" t="n">
        <v>2.7</v>
      </c>
    </row>
    <row r="887" customFormat="false" ht="12.8" hidden="false" customHeight="false" outlineLevel="0" collapsed="false">
      <c r="I887" s="0" t="n">
        <v>221</v>
      </c>
      <c r="J887" s="0" t="n">
        <v>165.7</v>
      </c>
      <c r="K887" s="0" t="n">
        <v>2.3</v>
      </c>
    </row>
    <row r="888" customFormat="false" ht="12.8" hidden="false" customHeight="false" outlineLevel="0" collapsed="false">
      <c r="I888" s="0" t="n">
        <v>221.25</v>
      </c>
      <c r="J888" s="0" t="n">
        <v>166.2</v>
      </c>
      <c r="K888" s="0" t="n">
        <v>1.8</v>
      </c>
    </row>
    <row r="889" customFormat="false" ht="12.8" hidden="false" customHeight="false" outlineLevel="0" collapsed="false">
      <c r="I889" s="0" t="n">
        <v>221.5</v>
      </c>
      <c r="J889" s="0" t="n">
        <v>166.6</v>
      </c>
      <c r="K889" s="0" t="n">
        <v>1.8</v>
      </c>
    </row>
    <row r="890" customFormat="false" ht="12.8" hidden="false" customHeight="false" outlineLevel="0" collapsed="false">
      <c r="I890" s="0" t="n">
        <v>221.75</v>
      </c>
      <c r="J890" s="0" t="n">
        <v>167.1</v>
      </c>
      <c r="K890" s="0" t="n">
        <v>1.8</v>
      </c>
    </row>
    <row r="891" customFormat="false" ht="12.8" hidden="false" customHeight="false" outlineLevel="0" collapsed="false">
      <c r="I891" s="0" t="n">
        <v>222</v>
      </c>
      <c r="J891" s="0" t="n">
        <v>167.5</v>
      </c>
      <c r="K891" s="0" t="n">
        <v>1.8</v>
      </c>
    </row>
    <row r="892" customFormat="false" ht="12.8" hidden="false" customHeight="false" outlineLevel="0" collapsed="false">
      <c r="I892" s="0" t="n">
        <v>222.25</v>
      </c>
      <c r="J892" s="0" t="n">
        <v>168</v>
      </c>
      <c r="K892" s="0" t="n">
        <v>1.8</v>
      </c>
    </row>
    <row r="893" customFormat="false" ht="12.8" hidden="false" customHeight="false" outlineLevel="0" collapsed="false">
      <c r="I893" s="0" t="n">
        <v>222.5</v>
      </c>
      <c r="J893" s="0" t="n">
        <v>168.5</v>
      </c>
      <c r="K893" s="0" t="n">
        <v>1.8</v>
      </c>
    </row>
    <row r="894" customFormat="false" ht="12.8" hidden="false" customHeight="false" outlineLevel="0" collapsed="false">
      <c r="I894" s="0" t="n">
        <v>222.75</v>
      </c>
      <c r="J894" s="0" t="n">
        <v>168.9</v>
      </c>
      <c r="K894" s="0" t="n">
        <v>1.8</v>
      </c>
    </row>
    <row r="895" customFormat="false" ht="12.8" hidden="false" customHeight="false" outlineLevel="0" collapsed="false">
      <c r="I895" s="0" t="n">
        <v>223</v>
      </c>
      <c r="J895" s="0" t="n">
        <v>169.4</v>
      </c>
      <c r="K895" s="0" t="n">
        <v>1.8</v>
      </c>
    </row>
    <row r="896" customFormat="false" ht="12.8" hidden="false" customHeight="false" outlineLevel="0" collapsed="false">
      <c r="I896" s="0" t="n">
        <v>223.25</v>
      </c>
      <c r="J896" s="0" t="n">
        <v>169.8</v>
      </c>
      <c r="K896" s="0" t="n">
        <v>1.8</v>
      </c>
    </row>
    <row r="897" customFormat="false" ht="12.8" hidden="false" customHeight="false" outlineLevel="0" collapsed="false">
      <c r="I897" s="0" t="n">
        <v>223.5</v>
      </c>
      <c r="J897" s="0" t="n">
        <v>170.3</v>
      </c>
      <c r="K897" s="0" t="n">
        <v>1.8</v>
      </c>
    </row>
    <row r="898" customFormat="false" ht="12.8" hidden="false" customHeight="false" outlineLevel="0" collapsed="false">
      <c r="I898" s="0" t="n">
        <v>223.75</v>
      </c>
      <c r="J898" s="0" t="n">
        <v>170.7</v>
      </c>
      <c r="K898" s="0" t="n">
        <v>1.8</v>
      </c>
    </row>
    <row r="899" customFormat="false" ht="12.8" hidden="false" customHeight="false" outlineLevel="0" collapsed="false">
      <c r="I899" s="0" t="n">
        <v>224</v>
      </c>
      <c r="J899" s="0" t="n">
        <v>171.2</v>
      </c>
      <c r="K899" s="0" t="n">
        <v>1.8</v>
      </c>
    </row>
    <row r="900" customFormat="false" ht="12.8" hidden="false" customHeight="false" outlineLevel="0" collapsed="false">
      <c r="I900" s="0" t="n">
        <v>224.25</v>
      </c>
      <c r="J900" s="0" t="n">
        <v>171.6</v>
      </c>
      <c r="K900" s="0" t="n">
        <v>1.8</v>
      </c>
    </row>
    <row r="901" customFormat="false" ht="12.8" hidden="false" customHeight="false" outlineLevel="0" collapsed="false">
      <c r="I901" s="0" t="n">
        <v>224.5</v>
      </c>
      <c r="J901" s="0" t="n">
        <v>172</v>
      </c>
      <c r="K901" s="0" t="n">
        <v>1.4</v>
      </c>
    </row>
    <row r="902" customFormat="false" ht="12.8" hidden="false" customHeight="false" outlineLevel="0" collapsed="false">
      <c r="I902" s="0" t="n">
        <v>224.75</v>
      </c>
      <c r="J902" s="0" t="n">
        <v>172.2</v>
      </c>
      <c r="K902" s="0" t="n">
        <v>0.7</v>
      </c>
    </row>
    <row r="903" customFormat="false" ht="12.8" hidden="false" customHeight="false" outlineLevel="0" collapsed="false">
      <c r="I903" s="0" t="n">
        <v>225</v>
      </c>
      <c r="J903" s="0" t="n">
        <v>172.4</v>
      </c>
      <c r="K903" s="0" t="n">
        <v>0.7</v>
      </c>
    </row>
    <row r="904" customFormat="false" ht="12.8" hidden="false" customHeight="false" outlineLevel="0" collapsed="false">
      <c r="I904" s="0" t="n">
        <v>225.25</v>
      </c>
      <c r="J904" s="0" t="n">
        <v>172.5</v>
      </c>
      <c r="K904" s="0" t="n">
        <v>0.7</v>
      </c>
    </row>
    <row r="905" customFormat="false" ht="12.8" hidden="false" customHeight="false" outlineLevel="0" collapsed="false">
      <c r="I905" s="0" t="n">
        <v>225.5</v>
      </c>
      <c r="J905" s="0" t="n">
        <v>172.7</v>
      </c>
      <c r="K905" s="0" t="n">
        <v>0.7</v>
      </c>
    </row>
    <row r="906" customFormat="false" ht="12.8" hidden="false" customHeight="false" outlineLevel="0" collapsed="false">
      <c r="I906" s="0" t="n">
        <v>225.75</v>
      </c>
      <c r="J906" s="0" t="n">
        <v>172.9</v>
      </c>
      <c r="K906" s="0" t="n">
        <v>0.7</v>
      </c>
    </row>
    <row r="907" customFormat="false" ht="12.8" hidden="false" customHeight="false" outlineLevel="0" collapsed="false">
      <c r="I907" s="0" t="n">
        <v>226</v>
      </c>
      <c r="J907" s="0" t="n">
        <v>173.1</v>
      </c>
      <c r="K907" s="0" t="n">
        <v>0.7</v>
      </c>
    </row>
    <row r="908" customFormat="false" ht="12.8" hidden="false" customHeight="false" outlineLevel="0" collapsed="false">
      <c r="I908" s="0" t="n">
        <v>226.25</v>
      </c>
      <c r="J908" s="0" t="n">
        <v>173.3</v>
      </c>
      <c r="K908" s="0" t="n">
        <v>0.7</v>
      </c>
    </row>
    <row r="909" customFormat="false" ht="12.8" hidden="false" customHeight="false" outlineLevel="0" collapsed="false">
      <c r="I909" s="0" t="n">
        <v>226.5</v>
      </c>
      <c r="J909" s="0" t="n">
        <v>173.5</v>
      </c>
      <c r="K909" s="0" t="n">
        <v>0.7</v>
      </c>
    </row>
    <row r="910" customFormat="false" ht="12.8" hidden="false" customHeight="false" outlineLevel="0" collapsed="false">
      <c r="I910" s="0" t="n">
        <v>226.75</v>
      </c>
      <c r="J910" s="0" t="n">
        <v>173.7</v>
      </c>
      <c r="K910" s="0" t="n">
        <v>0.7</v>
      </c>
    </row>
    <row r="911" customFormat="false" ht="12.8" hidden="false" customHeight="false" outlineLevel="0" collapsed="false">
      <c r="I911" s="0" t="n">
        <v>227</v>
      </c>
      <c r="J911" s="0" t="n">
        <v>173.9</v>
      </c>
      <c r="K911" s="0" t="n">
        <v>0.7</v>
      </c>
    </row>
    <row r="912" customFormat="false" ht="12.8" hidden="false" customHeight="false" outlineLevel="0" collapsed="false">
      <c r="I912" s="0" t="n">
        <v>227.25</v>
      </c>
      <c r="J912" s="0" t="n">
        <v>174</v>
      </c>
      <c r="K912" s="0" t="n">
        <v>0.7</v>
      </c>
    </row>
    <row r="913" customFormat="false" ht="12.8" hidden="false" customHeight="false" outlineLevel="0" collapsed="false">
      <c r="I913" s="0" t="n">
        <v>227.5</v>
      </c>
      <c r="J913" s="0" t="n">
        <v>174.2</v>
      </c>
      <c r="K913" s="0" t="n">
        <v>0.7</v>
      </c>
    </row>
    <row r="914" customFormat="false" ht="12.8" hidden="false" customHeight="false" outlineLevel="0" collapsed="false">
      <c r="I914" s="0" t="n">
        <v>227.75</v>
      </c>
      <c r="J914" s="0" t="n">
        <v>174.4</v>
      </c>
      <c r="K914" s="0" t="n">
        <v>0.7</v>
      </c>
    </row>
    <row r="915" customFormat="false" ht="12.8" hidden="false" customHeight="false" outlineLevel="0" collapsed="false">
      <c r="I915" s="0" t="n">
        <v>228</v>
      </c>
      <c r="J915" s="0" t="n">
        <v>174.6</v>
      </c>
      <c r="K915" s="0" t="n">
        <v>0.7</v>
      </c>
    </row>
    <row r="916" customFormat="false" ht="12.8" hidden="false" customHeight="false" outlineLevel="0" collapsed="false">
      <c r="I916" s="0" t="n">
        <v>228.25</v>
      </c>
      <c r="J916" s="0" t="n">
        <v>174.8</v>
      </c>
      <c r="K916" s="0" t="n">
        <v>0.7</v>
      </c>
    </row>
    <row r="917" customFormat="false" ht="12.8" hidden="false" customHeight="false" outlineLevel="0" collapsed="false">
      <c r="I917" s="0" t="n">
        <v>228.5</v>
      </c>
      <c r="J917" s="0" t="n">
        <v>175</v>
      </c>
      <c r="K917" s="0" t="n">
        <v>0.7</v>
      </c>
    </row>
    <row r="918" customFormat="false" ht="12.8" hidden="false" customHeight="false" outlineLevel="0" collapsed="false">
      <c r="I918" s="0" t="n">
        <v>228.75</v>
      </c>
      <c r="J918" s="0" t="n">
        <v>175.2</v>
      </c>
      <c r="K918" s="0" t="n">
        <v>0.7</v>
      </c>
    </row>
    <row r="919" customFormat="false" ht="12.8" hidden="false" customHeight="false" outlineLevel="0" collapsed="false">
      <c r="I919" s="0" t="n">
        <v>229</v>
      </c>
      <c r="J919" s="0" t="n">
        <v>175.4</v>
      </c>
      <c r="K919" s="0" t="n">
        <v>0.7</v>
      </c>
    </row>
    <row r="920" customFormat="false" ht="12.8" hidden="false" customHeight="false" outlineLevel="0" collapsed="false">
      <c r="I920" s="0" t="n">
        <v>229.25</v>
      </c>
      <c r="J920" s="0" t="n">
        <v>175.5</v>
      </c>
      <c r="K920" s="0" t="n">
        <v>0.7</v>
      </c>
    </row>
    <row r="921" customFormat="false" ht="12.8" hidden="false" customHeight="false" outlineLevel="0" collapsed="false">
      <c r="I921" s="0" t="n">
        <v>229.5</v>
      </c>
      <c r="J921" s="0" t="n">
        <v>175.7</v>
      </c>
      <c r="K921" s="0" t="n">
        <v>0.7</v>
      </c>
    </row>
    <row r="922" customFormat="false" ht="12.8" hidden="false" customHeight="false" outlineLevel="0" collapsed="false">
      <c r="I922" s="0" t="n">
        <v>229.75</v>
      </c>
      <c r="J922" s="0" t="n">
        <v>175.9</v>
      </c>
      <c r="K922" s="0" t="n">
        <v>0.7</v>
      </c>
    </row>
    <row r="923" customFormat="false" ht="12.8" hidden="false" customHeight="false" outlineLevel="0" collapsed="false">
      <c r="I923" s="0" t="n">
        <v>230</v>
      </c>
      <c r="J923" s="0" t="n">
        <v>176.1</v>
      </c>
      <c r="K923" s="0" t="n">
        <v>0.7</v>
      </c>
    </row>
    <row r="924" customFormat="false" ht="12.8" hidden="false" customHeight="false" outlineLevel="0" collapsed="false">
      <c r="I924" s="0" t="n">
        <v>230.25</v>
      </c>
      <c r="J924" s="0" t="n">
        <v>176.3</v>
      </c>
      <c r="K924" s="0" t="n">
        <v>0.7</v>
      </c>
    </row>
    <row r="925" customFormat="false" ht="12.8" hidden="false" customHeight="false" outlineLevel="0" collapsed="false">
      <c r="I925" s="0" t="n">
        <v>230.5</v>
      </c>
      <c r="J925" s="0" t="n">
        <v>176.5</v>
      </c>
      <c r="K925" s="0" t="n">
        <v>0.7</v>
      </c>
    </row>
    <row r="926" customFormat="false" ht="12.8" hidden="false" customHeight="false" outlineLevel="0" collapsed="false">
      <c r="I926" s="0" t="n">
        <v>230.75</v>
      </c>
      <c r="J926" s="0" t="n">
        <v>176.7</v>
      </c>
      <c r="K926" s="0" t="n">
        <v>0.7</v>
      </c>
    </row>
    <row r="927" customFormat="false" ht="12.8" hidden="false" customHeight="false" outlineLevel="0" collapsed="false">
      <c r="I927" s="0" t="n">
        <v>231</v>
      </c>
      <c r="J927" s="0" t="n">
        <v>176.9</v>
      </c>
      <c r="K927" s="0" t="n">
        <v>0.7</v>
      </c>
    </row>
    <row r="928" customFormat="false" ht="12.8" hidden="false" customHeight="false" outlineLevel="0" collapsed="false">
      <c r="I928" s="0" t="n">
        <v>231.25</v>
      </c>
      <c r="J928" s="0" t="n">
        <v>177</v>
      </c>
      <c r="K928" s="0" t="n">
        <v>0.7</v>
      </c>
    </row>
    <row r="929" customFormat="false" ht="12.8" hidden="false" customHeight="false" outlineLevel="0" collapsed="false">
      <c r="I929" s="0" t="n">
        <v>231.5</v>
      </c>
      <c r="J929" s="0" t="n">
        <v>177.2</v>
      </c>
      <c r="K929" s="0" t="n">
        <v>0.7</v>
      </c>
    </row>
    <row r="930" customFormat="false" ht="12.8" hidden="false" customHeight="false" outlineLevel="0" collapsed="false">
      <c r="I930" s="0" t="n">
        <v>231.75</v>
      </c>
      <c r="J930" s="0" t="n">
        <v>177.4</v>
      </c>
      <c r="K930" s="0" t="n">
        <v>0.7</v>
      </c>
    </row>
    <row r="931" customFormat="false" ht="12.8" hidden="false" customHeight="false" outlineLevel="0" collapsed="false">
      <c r="I931" s="0" t="n">
        <v>232</v>
      </c>
      <c r="J931" s="0" t="n">
        <v>177.6</v>
      </c>
      <c r="K931" s="0" t="n">
        <v>0.7</v>
      </c>
    </row>
    <row r="932" customFormat="false" ht="12.8" hidden="false" customHeight="false" outlineLevel="0" collapsed="false">
      <c r="I932" s="0" t="n">
        <v>232.25</v>
      </c>
      <c r="J932" s="0" t="n">
        <v>177.8</v>
      </c>
      <c r="K932" s="0" t="n">
        <v>0.7</v>
      </c>
    </row>
    <row r="933" customFormat="false" ht="12.8" hidden="false" customHeight="false" outlineLevel="0" collapsed="false">
      <c r="I933" s="0" t="n">
        <v>232.5</v>
      </c>
      <c r="J933" s="0" t="n">
        <v>178</v>
      </c>
      <c r="K933" s="0" t="n">
        <v>0.7</v>
      </c>
    </row>
    <row r="934" customFormat="false" ht="12.8" hidden="false" customHeight="false" outlineLevel="0" collapsed="false">
      <c r="I934" s="0" t="n">
        <v>232.75</v>
      </c>
      <c r="J934" s="0" t="n">
        <v>178.2</v>
      </c>
      <c r="K934" s="0" t="n">
        <v>0.7</v>
      </c>
    </row>
    <row r="935" customFormat="false" ht="12.8" hidden="false" customHeight="false" outlineLevel="0" collapsed="false">
      <c r="I935" s="0" t="n">
        <v>233</v>
      </c>
      <c r="J935" s="0" t="n">
        <v>178.4</v>
      </c>
      <c r="K935" s="0" t="n">
        <v>0.8</v>
      </c>
    </row>
    <row r="936" customFormat="false" ht="12.8" hidden="false" customHeight="false" outlineLevel="0" collapsed="false">
      <c r="I936" s="0" t="n">
        <v>233.25</v>
      </c>
      <c r="J936" s="0" t="n">
        <v>178.7</v>
      </c>
      <c r="K936" s="0" t="n">
        <v>1.5</v>
      </c>
    </row>
    <row r="937" customFormat="false" ht="12.8" hidden="false" customHeight="false" outlineLevel="0" collapsed="false">
      <c r="I937" s="0" t="n">
        <v>233.5</v>
      </c>
      <c r="J937" s="0" t="n">
        <v>179.1</v>
      </c>
      <c r="K937" s="0" t="n">
        <v>1.5</v>
      </c>
    </row>
    <row r="938" customFormat="false" ht="12.8" hidden="false" customHeight="false" outlineLevel="0" collapsed="false">
      <c r="I938" s="0" t="n">
        <v>233.75</v>
      </c>
      <c r="J938" s="0" t="n">
        <v>179.5</v>
      </c>
      <c r="K938" s="0" t="n">
        <v>1.5</v>
      </c>
    </row>
    <row r="939" customFormat="false" ht="12.8" hidden="false" customHeight="false" outlineLevel="0" collapsed="false">
      <c r="I939" s="0" t="n">
        <v>234</v>
      </c>
      <c r="J939" s="0" t="n">
        <v>179.8</v>
      </c>
      <c r="K939" s="0" t="n">
        <v>1.5</v>
      </c>
    </row>
    <row r="940" customFormat="false" ht="12.8" hidden="false" customHeight="false" outlineLevel="0" collapsed="false">
      <c r="I940" s="0" t="n">
        <v>234.25</v>
      </c>
      <c r="J940" s="0" t="n">
        <v>180.2</v>
      </c>
      <c r="K940" s="0" t="n">
        <v>1.5</v>
      </c>
    </row>
    <row r="941" customFormat="false" ht="12.8" hidden="false" customHeight="false" outlineLevel="0" collapsed="false">
      <c r="I941" s="0" t="n">
        <v>234.5</v>
      </c>
      <c r="J941" s="0" t="n">
        <v>180.6</v>
      </c>
      <c r="K941" s="0" t="n">
        <v>1.5</v>
      </c>
    </row>
    <row r="942" customFormat="false" ht="12.8" hidden="false" customHeight="false" outlineLevel="0" collapsed="false">
      <c r="I942" s="0" t="n">
        <v>234.75</v>
      </c>
      <c r="J942" s="0" t="n">
        <v>180.9</v>
      </c>
      <c r="K942" s="0" t="n">
        <v>1.5</v>
      </c>
    </row>
    <row r="943" customFormat="false" ht="12.8" hidden="false" customHeight="false" outlineLevel="0" collapsed="false">
      <c r="I943" s="0" t="n">
        <v>235</v>
      </c>
      <c r="J943" s="0" t="n">
        <v>181.3</v>
      </c>
      <c r="K943" s="0" t="n">
        <v>1.5</v>
      </c>
    </row>
    <row r="944" customFormat="false" ht="12.8" hidden="false" customHeight="false" outlineLevel="0" collapsed="false">
      <c r="I944" s="0" t="n">
        <v>235.25</v>
      </c>
      <c r="J944" s="0" t="n">
        <v>181.7</v>
      </c>
      <c r="K944" s="0" t="n">
        <v>1.5</v>
      </c>
    </row>
    <row r="945" customFormat="false" ht="12.8" hidden="false" customHeight="false" outlineLevel="0" collapsed="false">
      <c r="I945" s="0" t="n">
        <v>235.5</v>
      </c>
      <c r="J945" s="0" t="n">
        <v>182</v>
      </c>
      <c r="K945" s="0" t="n">
        <v>1.5</v>
      </c>
    </row>
    <row r="946" customFormat="false" ht="12.8" hidden="false" customHeight="false" outlineLevel="0" collapsed="false">
      <c r="I946" s="0" t="n">
        <v>235.75</v>
      </c>
      <c r="J946" s="0" t="n">
        <v>182.4</v>
      </c>
      <c r="K946" s="0" t="n">
        <v>1.5</v>
      </c>
    </row>
    <row r="947" customFormat="false" ht="12.8" hidden="false" customHeight="false" outlineLevel="0" collapsed="false">
      <c r="I947" s="0" t="n">
        <v>236</v>
      </c>
      <c r="J947" s="0" t="n">
        <v>182.8</v>
      </c>
      <c r="K947" s="0" t="n">
        <v>1.5</v>
      </c>
    </row>
    <row r="948" customFormat="false" ht="12.8" hidden="false" customHeight="false" outlineLevel="0" collapsed="false">
      <c r="I948" s="0" t="n">
        <v>236.25</v>
      </c>
      <c r="J948" s="0" t="n">
        <v>183.2</v>
      </c>
      <c r="K948" s="0" t="n">
        <v>1.5</v>
      </c>
    </row>
    <row r="949" customFormat="false" ht="12.8" hidden="false" customHeight="false" outlineLevel="0" collapsed="false">
      <c r="I949" s="0" t="n">
        <v>236.5</v>
      </c>
      <c r="J949" s="0" t="n">
        <v>183.5</v>
      </c>
      <c r="K949" s="0" t="n">
        <v>1.5</v>
      </c>
    </row>
    <row r="950" customFormat="false" ht="12.8" hidden="false" customHeight="false" outlineLevel="0" collapsed="false">
      <c r="I950" s="0" t="n">
        <v>236.75</v>
      </c>
      <c r="J950" s="0" t="n">
        <v>183.9</v>
      </c>
      <c r="K950" s="0" t="n">
        <v>1.5</v>
      </c>
    </row>
    <row r="951" customFormat="false" ht="12.8" hidden="false" customHeight="false" outlineLevel="0" collapsed="false">
      <c r="I951" s="0" t="n">
        <v>237</v>
      </c>
      <c r="J951" s="0" t="n">
        <v>184.3</v>
      </c>
      <c r="K951" s="0" t="n">
        <v>1.5</v>
      </c>
    </row>
    <row r="952" customFormat="false" ht="12.8" hidden="false" customHeight="false" outlineLevel="0" collapsed="false">
      <c r="I952" s="0" t="n">
        <v>237.25</v>
      </c>
      <c r="J952" s="0" t="n">
        <v>184.6</v>
      </c>
      <c r="K952" s="0" t="n">
        <v>1.5</v>
      </c>
    </row>
    <row r="953" customFormat="false" ht="12.8" hidden="false" customHeight="false" outlineLevel="0" collapsed="false">
      <c r="I953" s="0" t="n">
        <v>237.5</v>
      </c>
      <c r="J953" s="0" t="n">
        <v>192.4</v>
      </c>
      <c r="K953" s="0" t="n">
        <v>31</v>
      </c>
    </row>
    <row r="954" customFormat="false" ht="12.8" hidden="false" customHeight="false" outlineLevel="0" collapsed="false">
      <c r="I954" s="0" t="n">
        <v>237.75</v>
      </c>
      <c r="J954" s="0" t="n">
        <v>195.4</v>
      </c>
      <c r="K954" s="0" t="n">
        <v>11.9</v>
      </c>
    </row>
    <row r="955" customFormat="false" ht="12.8" hidden="false" customHeight="false" outlineLevel="0" collapsed="false">
      <c r="I955" s="0" t="n">
        <v>238</v>
      </c>
      <c r="J955" s="0" t="n">
        <v>198.3</v>
      </c>
      <c r="K955" s="0" t="n">
        <v>11.6</v>
      </c>
    </row>
    <row r="956" customFormat="false" ht="12.8" hidden="false" customHeight="false" outlineLevel="0" collapsed="false">
      <c r="I956" s="0" t="n">
        <v>238.25</v>
      </c>
      <c r="J956" s="0" t="n">
        <v>200.6</v>
      </c>
      <c r="K956" s="0" t="n">
        <v>9.4</v>
      </c>
    </row>
    <row r="957" customFormat="false" ht="12.8" hidden="false" customHeight="false" outlineLevel="0" collapsed="false">
      <c r="I957" s="0" t="n">
        <v>238.5</v>
      </c>
      <c r="J957" s="0" t="n">
        <v>203</v>
      </c>
      <c r="K957" s="0" t="n">
        <v>9.4</v>
      </c>
    </row>
    <row r="958" customFormat="false" ht="12.8" hidden="false" customHeight="false" outlineLevel="0" collapsed="false">
      <c r="I958" s="0" t="n">
        <v>238.75</v>
      </c>
      <c r="J958" s="0" t="n">
        <v>205.4</v>
      </c>
      <c r="K958" s="0" t="n">
        <v>9.5</v>
      </c>
    </row>
    <row r="959" customFormat="false" ht="12.8" hidden="false" customHeight="false" outlineLevel="0" collapsed="false">
      <c r="I959" s="0" t="n">
        <v>239</v>
      </c>
      <c r="J959" s="0" t="n">
        <v>207.8</v>
      </c>
      <c r="K959" s="0" t="n">
        <v>9.7</v>
      </c>
    </row>
    <row r="960" customFormat="false" ht="12.8" hidden="false" customHeight="false" outlineLevel="0" collapsed="false">
      <c r="I960" s="0" t="n">
        <v>239.25</v>
      </c>
      <c r="J960" s="0" t="n">
        <v>210.2</v>
      </c>
      <c r="K960" s="0" t="n">
        <v>9.7</v>
      </c>
    </row>
    <row r="961" customFormat="false" ht="12.8" hidden="false" customHeight="false" outlineLevel="0" collapsed="false">
      <c r="I961" s="0" t="n">
        <v>239.5</v>
      </c>
      <c r="J961" s="0" t="n">
        <v>212.6</v>
      </c>
      <c r="K961" s="0" t="n">
        <v>9.6</v>
      </c>
    </row>
    <row r="962" customFormat="false" ht="12.8" hidden="false" customHeight="false" outlineLevel="0" collapsed="false">
      <c r="I962" s="0" t="n">
        <v>239.75</v>
      </c>
      <c r="J962" s="0" t="n">
        <v>215</v>
      </c>
      <c r="K962" s="0" t="n">
        <v>9.5</v>
      </c>
    </row>
    <row r="963" customFormat="false" ht="12.8" hidden="false" customHeight="false" outlineLevel="0" collapsed="false">
      <c r="I963" s="0" t="n">
        <v>240</v>
      </c>
      <c r="J963" s="0" t="n">
        <v>217.4</v>
      </c>
      <c r="K963" s="0" t="n">
        <v>9.5</v>
      </c>
    </row>
    <row r="964" customFormat="false" ht="12.8" hidden="false" customHeight="false" outlineLevel="0" collapsed="false">
      <c r="I964" s="0" t="n">
        <v>240.25</v>
      </c>
      <c r="J964" s="0" t="n">
        <v>218.9</v>
      </c>
      <c r="K964" s="0" t="n">
        <v>6.1</v>
      </c>
    </row>
    <row r="965" customFormat="false" ht="12.8" hidden="false" customHeight="false" outlineLevel="0" collapsed="false">
      <c r="I965" s="0" t="n">
        <v>240.5</v>
      </c>
      <c r="J965" s="0" t="n">
        <v>220.2</v>
      </c>
      <c r="K965" s="0" t="n">
        <v>5.3</v>
      </c>
    </row>
    <row r="966" customFormat="false" ht="12.8" hidden="false" customHeight="false" outlineLevel="0" collapsed="false">
      <c r="I966" s="0" t="n">
        <v>240.75</v>
      </c>
      <c r="J966" s="0" t="n">
        <v>221.5</v>
      </c>
      <c r="K966" s="0" t="n">
        <v>5.3</v>
      </c>
    </row>
    <row r="967" customFormat="false" ht="12.8" hidden="false" customHeight="false" outlineLevel="0" collapsed="false">
      <c r="I967" s="0" t="n">
        <v>241</v>
      </c>
      <c r="J967" s="0" t="n">
        <v>222.8</v>
      </c>
      <c r="K967" s="0" t="n">
        <v>5.3</v>
      </c>
    </row>
    <row r="968" customFormat="false" ht="12.8" hidden="false" customHeight="false" outlineLevel="0" collapsed="false">
      <c r="I968" s="0" t="n">
        <v>241.25</v>
      </c>
      <c r="J968" s="0" t="n">
        <v>224.2</v>
      </c>
      <c r="K968" s="0" t="n">
        <v>5.3</v>
      </c>
    </row>
    <row r="969" customFormat="false" ht="12.8" hidden="false" customHeight="false" outlineLevel="0" collapsed="false">
      <c r="I969" s="0" t="n">
        <v>241.5</v>
      </c>
      <c r="J969" s="0" t="n">
        <v>225.1</v>
      </c>
      <c r="K969" s="0" t="n">
        <v>3.9</v>
      </c>
    </row>
    <row r="970" customFormat="false" ht="12.8" hidden="false" customHeight="false" outlineLevel="0" collapsed="false">
      <c r="I970" s="0" t="n">
        <v>241.75</v>
      </c>
      <c r="J970" s="0" t="n">
        <v>226</v>
      </c>
      <c r="K970" s="0" t="n">
        <v>3.3</v>
      </c>
    </row>
    <row r="971" customFormat="false" ht="12.8" hidden="false" customHeight="false" outlineLevel="0" collapsed="false">
      <c r="I971" s="0" t="n">
        <v>242</v>
      </c>
      <c r="J971" s="0" t="n">
        <v>226.8</v>
      </c>
      <c r="K971" s="0" t="n">
        <v>3.3</v>
      </c>
    </row>
    <row r="972" customFormat="false" ht="12.8" hidden="false" customHeight="false" outlineLevel="0" collapsed="false">
      <c r="I972" s="0" t="n">
        <v>242.25</v>
      </c>
      <c r="J972" s="0" t="n">
        <v>227.7</v>
      </c>
      <c r="K972" s="0" t="n">
        <v>3.3</v>
      </c>
    </row>
    <row r="973" customFormat="false" ht="12.8" hidden="false" customHeight="false" outlineLevel="0" collapsed="false">
      <c r="I973" s="0" t="n">
        <v>242.5</v>
      </c>
      <c r="J973" s="0" t="n">
        <v>228.5</v>
      </c>
      <c r="K973" s="0" t="n">
        <v>3.3</v>
      </c>
    </row>
    <row r="974" customFormat="false" ht="12.8" hidden="false" customHeight="false" outlineLevel="0" collapsed="false">
      <c r="I974" s="0" t="n">
        <v>242.75</v>
      </c>
      <c r="J974" s="0" t="n">
        <v>229.3</v>
      </c>
      <c r="K974" s="0" t="n">
        <v>3.3</v>
      </c>
    </row>
    <row r="975" customFormat="false" ht="12.8" hidden="false" customHeight="false" outlineLevel="0" collapsed="false">
      <c r="I975" s="0" t="n">
        <v>243</v>
      </c>
      <c r="J975" s="0" t="n">
        <v>230.2</v>
      </c>
      <c r="K975" s="0" t="n">
        <v>3.3</v>
      </c>
    </row>
    <row r="976" customFormat="false" ht="12.8" hidden="false" customHeight="false" outlineLevel="0" collapsed="false">
      <c r="I976" s="0" t="n">
        <v>243.25</v>
      </c>
      <c r="J976" s="0" t="n">
        <v>231</v>
      </c>
      <c r="K976" s="0" t="n">
        <v>3.3</v>
      </c>
    </row>
    <row r="977" customFormat="false" ht="12.8" hidden="false" customHeight="false" outlineLevel="0" collapsed="false">
      <c r="I977" s="0" t="n">
        <v>243.5</v>
      </c>
      <c r="J977" s="0" t="n">
        <v>231.7</v>
      </c>
      <c r="K977" s="0" t="n">
        <v>2.6</v>
      </c>
    </row>
    <row r="978" customFormat="false" ht="12.8" hidden="false" customHeight="false" outlineLevel="0" collapsed="false">
      <c r="I978" s="0" t="n">
        <v>243.75</v>
      </c>
      <c r="J978" s="0" t="n">
        <v>232.2</v>
      </c>
      <c r="K978" s="0" t="n">
        <v>2.2</v>
      </c>
    </row>
    <row r="979" customFormat="false" ht="12.8" hidden="false" customHeight="false" outlineLevel="0" collapsed="false">
      <c r="I979" s="0" t="n">
        <v>244</v>
      </c>
      <c r="J979" s="0" t="n">
        <v>232.8</v>
      </c>
      <c r="K979" s="0" t="n">
        <v>2.2</v>
      </c>
    </row>
    <row r="980" customFormat="false" ht="12.8" hidden="false" customHeight="false" outlineLevel="0" collapsed="false">
      <c r="I980" s="0" t="n">
        <v>244.25</v>
      </c>
      <c r="J980" s="0" t="n">
        <v>233.3</v>
      </c>
      <c r="K980" s="0" t="n">
        <v>2.2</v>
      </c>
    </row>
    <row r="981" customFormat="false" ht="12.8" hidden="false" customHeight="false" outlineLevel="0" collapsed="false">
      <c r="I981" s="0" t="n">
        <v>244.5</v>
      </c>
      <c r="J981" s="0" t="n">
        <v>233.9</v>
      </c>
      <c r="K981" s="0" t="n">
        <v>2.2</v>
      </c>
    </row>
    <row r="982" customFormat="false" ht="12.8" hidden="false" customHeight="false" outlineLevel="0" collapsed="false">
      <c r="I982" s="0" t="n">
        <v>244.75</v>
      </c>
      <c r="J982" s="0" t="n">
        <v>234.5</v>
      </c>
      <c r="K982" s="0" t="n">
        <v>2.2</v>
      </c>
    </row>
    <row r="983" customFormat="false" ht="12.8" hidden="false" customHeight="false" outlineLevel="0" collapsed="false">
      <c r="I983" s="0" t="n">
        <v>245</v>
      </c>
      <c r="J983" s="0" t="n">
        <v>235</v>
      </c>
      <c r="K983" s="0" t="n">
        <v>2.2</v>
      </c>
    </row>
    <row r="984" customFormat="false" ht="12.8" hidden="false" customHeight="false" outlineLevel="0" collapsed="false">
      <c r="I984" s="0" t="n">
        <v>245.25</v>
      </c>
      <c r="J984" s="0" t="n">
        <v>235.6</v>
      </c>
      <c r="K984" s="0" t="n">
        <v>2.2</v>
      </c>
    </row>
    <row r="985" customFormat="false" ht="12.8" hidden="false" customHeight="false" outlineLevel="0" collapsed="false">
      <c r="I985" s="0" t="n">
        <v>245.5</v>
      </c>
      <c r="J985" s="0" t="n">
        <v>236.2</v>
      </c>
      <c r="K985" s="0" t="n">
        <v>2.2</v>
      </c>
    </row>
    <row r="986" customFormat="false" ht="12.8" hidden="false" customHeight="false" outlineLevel="0" collapsed="false">
      <c r="I986" s="0" t="n">
        <v>245.75</v>
      </c>
      <c r="J986" s="0" t="n">
        <v>236.7</v>
      </c>
      <c r="K986" s="0" t="n">
        <v>2.2</v>
      </c>
    </row>
    <row r="987" customFormat="false" ht="12.8" hidden="false" customHeight="false" outlineLevel="0" collapsed="false">
      <c r="I987" s="0" t="n">
        <v>246</v>
      </c>
      <c r="J987" s="0" t="n">
        <v>237.3</v>
      </c>
      <c r="K987" s="0" t="n">
        <v>2.2</v>
      </c>
    </row>
    <row r="988" customFormat="false" ht="12.8" hidden="false" customHeight="false" outlineLevel="0" collapsed="false">
      <c r="I988" s="0" t="n">
        <v>246.25</v>
      </c>
      <c r="J988" s="0" t="n">
        <v>237.8</v>
      </c>
      <c r="K988" s="0" t="n">
        <v>2.2</v>
      </c>
    </row>
    <row r="989" customFormat="false" ht="12.8" hidden="false" customHeight="false" outlineLevel="0" collapsed="false">
      <c r="I989" s="0" t="n">
        <v>246.5</v>
      </c>
      <c r="J989" s="0" t="n">
        <v>238.2</v>
      </c>
      <c r="K989" s="0" t="n">
        <v>1.5</v>
      </c>
    </row>
    <row r="990" customFormat="false" ht="12.8" hidden="false" customHeight="false" outlineLevel="0" collapsed="false">
      <c r="I990" s="0" t="n">
        <v>246.75</v>
      </c>
      <c r="J990" s="0" t="n">
        <v>238.4</v>
      </c>
      <c r="K990" s="0" t="n">
        <v>1</v>
      </c>
    </row>
    <row r="991" customFormat="false" ht="12.8" hidden="false" customHeight="false" outlineLevel="0" collapsed="false">
      <c r="I991" s="0" t="n">
        <v>247</v>
      </c>
      <c r="J991" s="0" t="n">
        <v>238.7</v>
      </c>
      <c r="K991" s="0" t="n">
        <v>1</v>
      </c>
    </row>
    <row r="992" customFormat="false" ht="12.8" hidden="false" customHeight="false" outlineLevel="0" collapsed="false">
      <c r="I992" s="0" t="n">
        <v>247.25</v>
      </c>
      <c r="J992" s="0" t="n">
        <v>238.9</v>
      </c>
      <c r="K992" s="0" t="n">
        <v>1</v>
      </c>
    </row>
    <row r="993" customFormat="false" ht="12.8" hidden="false" customHeight="false" outlineLevel="0" collapsed="false">
      <c r="I993" s="0" t="n">
        <v>247.5</v>
      </c>
      <c r="J993" s="0" t="n">
        <v>239.2</v>
      </c>
      <c r="K993" s="0" t="n">
        <v>1</v>
      </c>
    </row>
    <row r="994" customFormat="false" ht="12.8" hidden="false" customHeight="false" outlineLevel="0" collapsed="false">
      <c r="I994" s="0" t="n">
        <v>247.75</v>
      </c>
      <c r="J994" s="0" t="n">
        <v>239.4</v>
      </c>
      <c r="K994" s="0" t="n">
        <v>1</v>
      </c>
    </row>
    <row r="995" customFormat="false" ht="12.8" hidden="false" customHeight="false" outlineLevel="0" collapsed="false">
      <c r="I995" s="0" t="n">
        <v>248</v>
      </c>
      <c r="J995" s="0" t="n">
        <v>239.6</v>
      </c>
      <c r="K995" s="0" t="n">
        <v>1</v>
      </c>
    </row>
    <row r="996" customFormat="false" ht="12.8" hidden="false" customHeight="false" outlineLevel="0" collapsed="false">
      <c r="I996" s="0" t="n">
        <v>248.25</v>
      </c>
      <c r="J996" s="0" t="n">
        <v>239.9</v>
      </c>
      <c r="K996" s="0" t="n">
        <v>1</v>
      </c>
    </row>
    <row r="997" customFormat="false" ht="12.8" hidden="false" customHeight="false" outlineLevel="0" collapsed="false">
      <c r="I997" s="0" t="n">
        <v>248.5</v>
      </c>
      <c r="J997" s="0" t="n">
        <v>240.1</v>
      </c>
      <c r="K997" s="0" t="n">
        <v>1</v>
      </c>
    </row>
    <row r="998" customFormat="false" ht="12.8" hidden="false" customHeight="false" outlineLevel="0" collapsed="false">
      <c r="I998" s="0" t="n">
        <v>248.75</v>
      </c>
      <c r="J998" s="0" t="n">
        <v>240.4</v>
      </c>
      <c r="K998" s="0" t="n">
        <v>1</v>
      </c>
    </row>
    <row r="999" customFormat="false" ht="12.8" hidden="false" customHeight="false" outlineLevel="0" collapsed="false">
      <c r="I999" s="0" t="n">
        <v>249</v>
      </c>
      <c r="J999" s="0" t="n">
        <v>240.6</v>
      </c>
      <c r="K999" s="0" t="n">
        <v>1</v>
      </c>
    </row>
    <row r="1000" customFormat="false" ht="12.8" hidden="false" customHeight="false" outlineLevel="0" collapsed="false">
      <c r="I1000" s="0" t="n">
        <v>249.25</v>
      </c>
      <c r="J1000" s="0" t="n">
        <v>240.8</v>
      </c>
      <c r="K1000" s="0" t="n">
        <v>1</v>
      </c>
    </row>
    <row r="1001" customFormat="false" ht="12.8" hidden="false" customHeight="false" outlineLevel="0" collapsed="false">
      <c r="I1001" s="0" t="n">
        <v>249.5</v>
      </c>
      <c r="J1001" s="0" t="n">
        <v>241.1</v>
      </c>
      <c r="K1001" s="0" t="n">
        <v>1</v>
      </c>
    </row>
    <row r="1002" customFormat="false" ht="12.8" hidden="false" customHeight="false" outlineLevel="0" collapsed="false">
      <c r="I1002" s="0" t="n">
        <v>249.75</v>
      </c>
      <c r="J1002" s="0" t="n">
        <v>241.3</v>
      </c>
      <c r="K1002" s="0" t="n">
        <v>1</v>
      </c>
    </row>
    <row r="1003" customFormat="false" ht="12.8" hidden="false" customHeight="false" outlineLevel="0" collapsed="false">
      <c r="I1003" s="0" t="n">
        <v>250</v>
      </c>
      <c r="J1003" s="0" t="n">
        <v>241.6</v>
      </c>
      <c r="K1003" s="0" t="n">
        <v>1</v>
      </c>
    </row>
    <row r="1004" customFormat="false" ht="12.8" hidden="false" customHeight="false" outlineLevel="0" collapsed="false">
      <c r="I1004" s="0" t="n">
        <v>250.25</v>
      </c>
      <c r="J1004" s="0" t="n">
        <v>241.8</v>
      </c>
      <c r="K1004" s="0" t="n">
        <v>1</v>
      </c>
    </row>
    <row r="1005" customFormat="false" ht="12.8" hidden="false" customHeight="false" outlineLevel="0" collapsed="false">
      <c r="I1005" s="0" t="n">
        <v>250.5</v>
      </c>
      <c r="J1005" s="0" t="n">
        <v>242</v>
      </c>
      <c r="K1005" s="0" t="n">
        <v>1</v>
      </c>
    </row>
    <row r="1006" customFormat="false" ht="12.8" hidden="false" customHeight="false" outlineLevel="0" collapsed="false">
      <c r="I1006" s="0" t="n">
        <v>250.75</v>
      </c>
      <c r="J1006" s="0" t="n">
        <v>242.3</v>
      </c>
      <c r="K1006" s="0" t="n">
        <v>1</v>
      </c>
    </row>
    <row r="1007" customFormat="false" ht="12.8" hidden="false" customHeight="false" outlineLevel="0" collapsed="false">
      <c r="I1007" s="0" t="n">
        <v>251</v>
      </c>
      <c r="J1007" s="0" t="n">
        <v>242.5</v>
      </c>
      <c r="K1007" s="0" t="n">
        <v>1</v>
      </c>
    </row>
    <row r="1008" customFormat="false" ht="12.8" hidden="false" customHeight="false" outlineLevel="0" collapsed="false">
      <c r="I1008" s="0" t="n">
        <v>251.25</v>
      </c>
      <c r="J1008" s="0" t="n">
        <v>242.8</v>
      </c>
      <c r="K1008" s="0" t="n">
        <v>1</v>
      </c>
    </row>
    <row r="1009" customFormat="false" ht="12.8" hidden="false" customHeight="false" outlineLevel="0" collapsed="false">
      <c r="I1009" s="0" t="n">
        <v>251.5</v>
      </c>
      <c r="J1009" s="0" t="n">
        <v>243</v>
      </c>
      <c r="K1009" s="0" t="n">
        <v>1</v>
      </c>
    </row>
    <row r="1010" customFormat="false" ht="12.8" hidden="false" customHeight="false" outlineLevel="0" collapsed="false">
      <c r="I1010" s="0" t="n">
        <v>251.75</v>
      </c>
      <c r="J1010" s="0" t="n">
        <v>243.2</v>
      </c>
      <c r="K1010" s="0" t="n">
        <v>1</v>
      </c>
    </row>
    <row r="1011" customFormat="false" ht="12.8" hidden="false" customHeight="false" outlineLevel="0" collapsed="false">
      <c r="I1011" s="0" t="n">
        <v>252</v>
      </c>
      <c r="J1011" s="0" t="n">
        <v>243.5</v>
      </c>
      <c r="K1011" s="0" t="n">
        <v>1</v>
      </c>
    </row>
    <row r="1012" customFormat="false" ht="12.8" hidden="false" customHeight="false" outlineLevel="0" collapsed="false">
      <c r="I1012" s="0" t="n">
        <v>252.25</v>
      </c>
      <c r="J1012" s="0" t="n">
        <v>243.7</v>
      </c>
      <c r="K1012" s="0" t="n">
        <v>1</v>
      </c>
    </row>
    <row r="1013" customFormat="false" ht="12.8" hidden="false" customHeight="false" outlineLevel="0" collapsed="false">
      <c r="I1013" s="0" t="n">
        <v>252.5</v>
      </c>
      <c r="J1013" s="0" t="n">
        <v>244</v>
      </c>
      <c r="K1013" s="0" t="n">
        <v>1</v>
      </c>
    </row>
    <row r="1014" customFormat="false" ht="12.8" hidden="false" customHeight="false" outlineLevel="0" collapsed="false">
      <c r="I1014" s="0" t="n">
        <v>252.75</v>
      </c>
      <c r="J1014" s="0" t="n">
        <v>244.2</v>
      </c>
      <c r="K1014" s="0" t="n">
        <v>1</v>
      </c>
    </row>
    <row r="1015" customFormat="false" ht="12.8" hidden="false" customHeight="false" outlineLevel="0" collapsed="false">
      <c r="I1015" s="0" t="n">
        <v>253</v>
      </c>
      <c r="J1015" s="0" t="n">
        <v>244.4</v>
      </c>
      <c r="K1015" s="0" t="n">
        <v>1</v>
      </c>
    </row>
    <row r="1016" customFormat="false" ht="12.8" hidden="false" customHeight="false" outlineLevel="0" collapsed="false">
      <c r="I1016" s="0" t="n">
        <v>253.25</v>
      </c>
      <c r="J1016" s="0" t="n">
        <v>244.7</v>
      </c>
      <c r="K1016" s="0" t="n">
        <v>1</v>
      </c>
    </row>
    <row r="1017" customFormat="false" ht="12.8" hidden="false" customHeight="false" outlineLevel="0" collapsed="false">
      <c r="I1017" s="0" t="n">
        <v>253.5</v>
      </c>
      <c r="J1017" s="0" t="n">
        <v>244.9</v>
      </c>
      <c r="K1017" s="0" t="n">
        <v>0.9</v>
      </c>
    </row>
    <row r="1018" customFormat="false" ht="12.8" hidden="false" customHeight="false" outlineLevel="0" collapsed="false">
      <c r="I1018" s="0" t="n">
        <v>253.75</v>
      </c>
      <c r="J1018" s="0" t="n">
        <v>245.1</v>
      </c>
      <c r="K1018" s="0" t="n">
        <v>0.9</v>
      </c>
    </row>
    <row r="1019" customFormat="false" ht="12.8" hidden="false" customHeight="false" outlineLevel="0" collapsed="false">
      <c r="I1019" s="0" t="n">
        <v>254</v>
      </c>
      <c r="J1019" s="0" t="n">
        <v>245.4</v>
      </c>
      <c r="K1019" s="0" t="n">
        <v>0.9</v>
      </c>
    </row>
    <row r="1020" customFormat="false" ht="12.8" hidden="false" customHeight="false" outlineLevel="0" collapsed="false">
      <c r="I1020" s="0" t="n">
        <v>254.25</v>
      </c>
      <c r="J1020" s="0" t="n">
        <v>245.6</v>
      </c>
      <c r="K1020" s="0" t="n">
        <v>0.9</v>
      </c>
    </row>
    <row r="1021" customFormat="false" ht="12.8" hidden="false" customHeight="false" outlineLevel="0" collapsed="false">
      <c r="I1021" s="0" t="n">
        <v>254.5</v>
      </c>
      <c r="J1021" s="0" t="n">
        <v>245.8</v>
      </c>
      <c r="K1021" s="0" t="n">
        <v>0.9</v>
      </c>
    </row>
    <row r="1022" customFormat="false" ht="12.8" hidden="false" customHeight="false" outlineLevel="0" collapsed="false">
      <c r="I1022" s="0" t="n">
        <v>254.75</v>
      </c>
      <c r="J1022" s="0" t="n">
        <v>246</v>
      </c>
      <c r="K1022" s="0" t="n">
        <v>0.9</v>
      </c>
    </row>
    <row r="1023" customFormat="false" ht="12.8" hidden="false" customHeight="false" outlineLevel="0" collapsed="false">
      <c r="I1023" s="0" t="n">
        <v>255</v>
      </c>
      <c r="J1023" s="0" t="n">
        <v>246.2</v>
      </c>
      <c r="K1023" s="0" t="n">
        <v>0.9</v>
      </c>
    </row>
    <row r="1024" customFormat="false" ht="12.8" hidden="false" customHeight="false" outlineLevel="0" collapsed="false">
      <c r="I1024" s="0" t="n">
        <v>255.25</v>
      </c>
      <c r="J1024" s="0" t="n">
        <v>246.4</v>
      </c>
      <c r="K1024" s="0" t="n">
        <v>0.9</v>
      </c>
    </row>
    <row r="1025" customFormat="false" ht="12.8" hidden="false" customHeight="false" outlineLevel="0" collapsed="false">
      <c r="I1025" s="0" t="n">
        <v>255.5</v>
      </c>
      <c r="J1025" s="0" t="n">
        <v>246.6</v>
      </c>
      <c r="K1025" s="0" t="n">
        <v>0.9</v>
      </c>
    </row>
    <row r="1026" customFormat="false" ht="12.8" hidden="false" customHeight="false" outlineLevel="0" collapsed="false">
      <c r="I1026" s="0" t="n">
        <v>255.75</v>
      </c>
      <c r="J1026" s="0" t="n">
        <v>246.9</v>
      </c>
      <c r="K1026" s="0" t="n">
        <v>0.9</v>
      </c>
    </row>
    <row r="1027" customFormat="false" ht="12.8" hidden="false" customHeight="false" outlineLevel="0" collapsed="false">
      <c r="I1027" s="0" t="n">
        <v>256</v>
      </c>
      <c r="J1027" s="0" t="n">
        <v>247.1</v>
      </c>
      <c r="K1027" s="0" t="n">
        <v>0.9</v>
      </c>
    </row>
    <row r="1028" customFormat="false" ht="12.8" hidden="false" customHeight="false" outlineLevel="0" collapsed="false">
      <c r="I1028" s="0" t="n">
        <v>256.25</v>
      </c>
      <c r="J1028" s="0" t="n">
        <v>247.3</v>
      </c>
      <c r="K1028" s="0" t="n">
        <v>0.9</v>
      </c>
    </row>
    <row r="1029" customFormat="false" ht="12.8" hidden="false" customHeight="false" outlineLevel="0" collapsed="false">
      <c r="I1029" s="0" t="n">
        <v>256.5</v>
      </c>
      <c r="J1029" s="0" t="n">
        <v>247.5</v>
      </c>
      <c r="K1029" s="0" t="n">
        <v>0.9</v>
      </c>
    </row>
    <row r="1030" customFormat="false" ht="12.8" hidden="false" customHeight="false" outlineLevel="0" collapsed="false">
      <c r="I1030" s="0" t="n">
        <v>256.75</v>
      </c>
      <c r="J1030" s="0" t="n">
        <v>247.7</v>
      </c>
      <c r="K1030" s="0" t="n">
        <v>0.9</v>
      </c>
    </row>
    <row r="1031" customFormat="false" ht="12.8" hidden="false" customHeight="false" outlineLevel="0" collapsed="false">
      <c r="I1031" s="0" t="n">
        <v>257</v>
      </c>
      <c r="J1031" s="0" t="n">
        <v>247.9</v>
      </c>
      <c r="K1031" s="0" t="n">
        <v>0.9</v>
      </c>
    </row>
    <row r="1032" customFormat="false" ht="12.8" hidden="false" customHeight="false" outlineLevel="0" collapsed="false">
      <c r="I1032" s="0" t="n">
        <v>257.25</v>
      </c>
      <c r="J1032" s="0" t="n">
        <v>248.1</v>
      </c>
      <c r="K1032" s="0" t="n">
        <v>0.9</v>
      </c>
    </row>
    <row r="1033" customFormat="false" ht="12.8" hidden="false" customHeight="false" outlineLevel="0" collapsed="false">
      <c r="I1033" s="0" t="n">
        <v>257.5</v>
      </c>
      <c r="J1033" s="0" t="n">
        <v>248.4</v>
      </c>
      <c r="K1033" s="0" t="n">
        <v>0.9</v>
      </c>
    </row>
    <row r="1034" customFormat="false" ht="12.8" hidden="false" customHeight="false" outlineLevel="0" collapsed="false">
      <c r="I1034" s="0" t="n">
        <v>257.75</v>
      </c>
      <c r="J1034" s="0" t="n">
        <v>248.6</v>
      </c>
      <c r="K1034" s="0" t="n">
        <v>0.9</v>
      </c>
    </row>
    <row r="1035" customFormat="false" ht="12.8" hidden="false" customHeight="false" outlineLevel="0" collapsed="false">
      <c r="I1035" s="0" t="n">
        <v>258</v>
      </c>
      <c r="J1035" s="0" t="n">
        <v>248.8</v>
      </c>
      <c r="K1035" s="0" t="n">
        <v>0.9</v>
      </c>
    </row>
    <row r="1036" customFormat="false" ht="12.8" hidden="false" customHeight="false" outlineLevel="0" collapsed="false">
      <c r="I1036" s="0" t="n">
        <v>258.25</v>
      </c>
      <c r="J1036" s="0" t="n">
        <v>249</v>
      </c>
      <c r="K1036" s="0" t="n">
        <v>0.9</v>
      </c>
    </row>
    <row r="1037" customFormat="false" ht="12.8" hidden="false" customHeight="false" outlineLevel="0" collapsed="false">
      <c r="I1037" s="0" t="n">
        <v>258.5</v>
      </c>
      <c r="J1037" s="0" t="n">
        <v>249.2</v>
      </c>
      <c r="K1037" s="0" t="n">
        <v>0.9</v>
      </c>
    </row>
    <row r="1038" customFormat="false" ht="12.8" hidden="false" customHeight="false" outlineLevel="0" collapsed="false">
      <c r="I1038" s="0" t="n">
        <v>258.75</v>
      </c>
      <c r="J1038" s="0" t="n">
        <v>249.4</v>
      </c>
      <c r="K1038" s="0" t="n">
        <v>0.9</v>
      </c>
    </row>
    <row r="1039" customFormat="false" ht="12.8" hidden="false" customHeight="false" outlineLevel="0" collapsed="false">
      <c r="I1039" s="0" t="n">
        <v>259</v>
      </c>
      <c r="J1039" s="0" t="n">
        <v>249.6</v>
      </c>
      <c r="K1039" s="0" t="n">
        <v>0.9</v>
      </c>
    </row>
    <row r="1040" customFormat="false" ht="12.8" hidden="false" customHeight="false" outlineLevel="0" collapsed="false">
      <c r="I1040" s="0" t="n">
        <v>259.25</v>
      </c>
      <c r="J1040" s="0" t="n">
        <v>249.9</v>
      </c>
      <c r="K1040" s="0" t="n">
        <v>0.9</v>
      </c>
    </row>
    <row r="1041" customFormat="false" ht="12.8" hidden="false" customHeight="false" outlineLevel="0" collapsed="false">
      <c r="I1041" s="0" t="n">
        <v>259.5</v>
      </c>
      <c r="J1041" s="0" t="n">
        <v>250.1</v>
      </c>
      <c r="K1041" s="0" t="n">
        <v>0.9</v>
      </c>
    </row>
    <row r="1042" customFormat="false" ht="12.8" hidden="false" customHeight="false" outlineLevel="0" collapsed="false">
      <c r="I1042" s="0" t="n">
        <v>259.75</v>
      </c>
      <c r="J1042" s="0" t="n">
        <v>250.3</v>
      </c>
      <c r="K1042" s="0" t="n">
        <v>0.9</v>
      </c>
    </row>
    <row r="1043" customFormat="false" ht="12.8" hidden="false" customHeight="false" outlineLevel="0" collapsed="false">
      <c r="I1043" s="0" t="n">
        <v>260</v>
      </c>
      <c r="J1043" s="0" t="n">
        <v>250.5</v>
      </c>
      <c r="K1043" s="0" t="n">
        <v>0.9</v>
      </c>
    </row>
    <row r="1044" customFormat="false" ht="12.8" hidden="false" customHeight="false" outlineLevel="0" collapsed="false">
      <c r="I1044" s="0" t="n">
        <v>260.25</v>
      </c>
      <c r="J1044" s="0" t="n">
        <v>250.7</v>
      </c>
      <c r="K1044" s="0" t="n">
        <v>0.9</v>
      </c>
    </row>
    <row r="1045" customFormat="false" ht="12.8" hidden="false" customHeight="false" outlineLevel="0" collapsed="false">
      <c r="I1045" s="0" t="n">
        <v>260.5</v>
      </c>
      <c r="J1045" s="0" t="n">
        <v>250.9</v>
      </c>
      <c r="K1045" s="0" t="n">
        <v>0.9</v>
      </c>
    </row>
    <row r="1046" customFormat="false" ht="12.8" hidden="false" customHeight="false" outlineLevel="0" collapsed="false">
      <c r="I1046" s="0" t="n">
        <v>260.75</v>
      </c>
      <c r="J1046" s="0" t="n">
        <v>251.1</v>
      </c>
      <c r="K1046" s="0" t="n">
        <v>0.9</v>
      </c>
    </row>
    <row r="1047" customFormat="false" ht="12.8" hidden="false" customHeight="false" outlineLevel="0" collapsed="false">
      <c r="I1047" s="0" t="n">
        <v>261</v>
      </c>
      <c r="J1047" s="0" t="n">
        <v>251.4</v>
      </c>
      <c r="K1047" s="0" t="n">
        <v>0.9</v>
      </c>
    </row>
    <row r="1048" customFormat="false" ht="12.8" hidden="false" customHeight="false" outlineLevel="0" collapsed="false">
      <c r="I1048" s="0" t="n">
        <v>261.25</v>
      </c>
      <c r="J1048" s="0" t="n">
        <v>251.6</v>
      </c>
      <c r="K1048" s="0" t="n">
        <v>0.9</v>
      </c>
    </row>
    <row r="1049" customFormat="false" ht="12.8" hidden="false" customHeight="false" outlineLevel="0" collapsed="false">
      <c r="I1049" s="0" t="n">
        <v>261.5</v>
      </c>
      <c r="J1049" s="0" t="n">
        <v>252.5</v>
      </c>
      <c r="K1049" s="0" t="n">
        <v>3.6</v>
      </c>
    </row>
    <row r="1050" customFormat="false" ht="12.8" hidden="false" customHeight="false" outlineLevel="0" collapsed="false">
      <c r="I1050" s="0" t="n">
        <v>261.75</v>
      </c>
      <c r="J1050" s="0" t="n">
        <v>254.7</v>
      </c>
      <c r="K1050" s="0" t="n">
        <v>8.9</v>
      </c>
    </row>
    <row r="1051" customFormat="false" ht="12.8" hidden="false" customHeight="false" outlineLevel="0" collapsed="false">
      <c r="I1051" s="0" t="n">
        <v>262</v>
      </c>
      <c r="J1051" s="0" t="n">
        <v>256.9</v>
      </c>
      <c r="K1051" s="0" t="n">
        <v>8.9</v>
      </c>
    </row>
    <row r="1052" customFormat="false" ht="12.8" hidden="false" customHeight="false" outlineLevel="0" collapsed="false">
      <c r="I1052" s="0" t="n">
        <v>262.25</v>
      </c>
      <c r="J1052" s="0" t="n">
        <v>259.2</v>
      </c>
      <c r="K1052" s="0" t="n">
        <v>9</v>
      </c>
    </row>
    <row r="1053" customFormat="false" ht="12.8" hidden="false" customHeight="false" outlineLevel="0" collapsed="false">
      <c r="I1053" s="0" t="n">
        <v>262.5</v>
      </c>
      <c r="J1053" s="0" t="n">
        <v>261.5</v>
      </c>
      <c r="K1053" s="0" t="n">
        <v>9.3</v>
      </c>
    </row>
    <row r="1054" customFormat="false" ht="12.8" hidden="false" customHeight="false" outlineLevel="0" collapsed="false">
      <c r="I1054" s="0" t="n">
        <v>262.75</v>
      </c>
      <c r="J1054" s="0" t="n">
        <v>263.8</v>
      </c>
      <c r="K1054" s="0" t="n">
        <v>9.3</v>
      </c>
    </row>
    <row r="1055" customFormat="false" ht="12.8" hidden="false" customHeight="false" outlineLevel="0" collapsed="false">
      <c r="I1055" s="0" t="n">
        <v>263</v>
      </c>
      <c r="J1055" s="0" t="n">
        <v>265.6</v>
      </c>
      <c r="K1055" s="0" t="n">
        <v>7.2</v>
      </c>
    </row>
    <row r="1056" customFormat="false" ht="12.8" hidden="false" customHeight="false" outlineLevel="0" collapsed="false">
      <c r="I1056" s="0" t="n">
        <v>263.25</v>
      </c>
      <c r="J1056" s="0" t="n">
        <v>266.2</v>
      </c>
      <c r="K1056" s="0" t="n">
        <v>2.3</v>
      </c>
    </row>
    <row r="1057" customFormat="false" ht="12.8" hidden="false" customHeight="false" outlineLevel="0" collapsed="false">
      <c r="I1057" s="0" t="n">
        <v>263.5</v>
      </c>
      <c r="J1057" s="0" t="n">
        <v>266.8</v>
      </c>
      <c r="K1057" s="0" t="n">
        <v>2.3</v>
      </c>
    </row>
    <row r="1058" customFormat="false" ht="12.8" hidden="false" customHeight="false" outlineLevel="0" collapsed="false">
      <c r="I1058" s="0" t="n">
        <v>263.75</v>
      </c>
      <c r="J1058" s="0" t="n">
        <v>267.3</v>
      </c>
      <c r="K1058" s="0" t="n">
        <v>2.3</v>
      </c>
    </row>
    <row r="1059" customFormat="false" ht="12.8" hidden="false" customHeight="false" outlineLevel="0" collapsed="false">
      <c r="I1059" s="0" t="n">
        <v>264</v>
      </c>
      <c r="J1059" s="0" t="n">
        <v>267.9</v>
      </c>
      <c r="K1059" s="0" t="n">
        <v>2.3</v>
      </c>
    </row>
    <row r="1060" customFormat="false" ht="12.8" hidden="false" customHeight="false" outlineLevel="0" collapsed="false">
      <c r="I1060" s="0" t="n">
        <v>264.25</v>
      </c>
      <c r="J1060" s="0" t="n">
        <v>268.5</v>
      </c>
      <c r="K1060" s="0" t="n">
        <v>2.3</v>
      </c>
    </row>
    <row r="1061" customFormat="false" ht="12.8" hidden="false" customHeight="false" outlineLevel="0" collapsed="false">
      <c r="I1061" s="0" t="n">
        <v>264.5</v>
      </c>
      <c r="J1061" s="0" t="n">
        <v>269</v>
      </c>
      <c r="K1061" s="0" t="n">
        <v>2.3</v>
      </c>
    </row>
    <row r="1062" customFormat="false" ht="12.8" hidden="false" customHeight="false" outlineLevel="0" collapsed="false">
      <c r="I1062" s="0" t="n">
        <v>264.75</v>
      </c>
      <c r="J1062" s="0" t="n">
        <v>269.6</v>
      </c>
      <c r="K1062" s="0" t="n">
        <v>2.3</v>
      </c>
    </row>
    <row r="1063" customFormat="false" ht="12.8" hidden="false" customHeight="false" outlineLevel="0" collapsed="false">
      <c r="I1063" s="0" t="n">
        <v>265</v>
      </c>
      <c r="J1063" s="0" t="n">
        <v>270.2</v>
      </c>
      <c r="K1063" s="0" t="n">
        <v>2.3</v>
      </c>
    </row>
    <row r="1064" customFormat="false" ht="12.8" hidden="false" customHeight="false" outlineLevel="0" collapsed="false">
      <c r="I1064" s="0" t="n">
        <v>265.25</v>
      </c>
      <c r="J1064" s="0" t="n">
        <v>270.7</v>
      </c>
      <c r="K1064" s="0" t="n">
        <v>2.3</v>
      </c>
    </row>
    <row r="1065" customFormat="false" ht="12.8" hidden="false" customHeight="false" outlineLevel="0" collapsed="false">
      <c r="I1065" s="0" t="n">
        <v>265.5</v>
      </c>
      <c r="J1065" s="0" t="n">
        <v>271.3</v>
      </c>
      <c r="K1065" s="0" t="n">
        <v>2.3</v>
      </c>
    </row>
    <row r="1066" customFormat="false" ht="12.8" hidden="false" customHeight="false" outlineLevel="0" collapsed="false">
      <c r="I1066" s="0" t="n">
        <v>265.75</v>
      </c>
      <c r="J1066" s="0" t="n">
        <v>271.8</v>
      </c>
      <c r="K1066" s="0" t="n">
        <v>2.3</v>
      </c>
    </row>
    <row r="1067" customFormat="false" ht="12.8" hidden="false" customHeight="false" outlineLevel="0" collapsed="false">
      <c r="I1067" s="0" t="n">
        <v>266</v>
      </c>
      <c r="J1067" s="0" t="n">
        <v>272.4</v>
      </c>
      <c r="K1067" s="0" t="n">
        <v>2.2</v>
      </c>
    </row>
    <row r="1068" customFormat="false" ht="12.8" hidden="false" customHeight="false" outlineLevel="0" collapsed="false">
      <c r="I1068" s="0" t="n">
        <v>266.25</v>
      </c>
      <c r="J1068" s="0" t="n">
        <v>272.5</v>
      </c>
      <c r="K1068" s="0" t="n">
        <v>0.5</v>
      </c>
    </row>
    <row r="1069" customFormat="false" ht="12.8" hidden="false" customHeight="false" outlineLevel="0" collapsed="false">
      <c r="I1069" s="0" t="n">
        <v>266.5</v>
      </c>
      <c r="J1069" s="0" t="n">
        <v>272.6</v>
      </c>
      <c r="K1069" s="0" t="n">
        <v>0.5</v>
      </c>
    </row>
    <row r="1070" customFormat="false" ht="12.8" hidden="false" customHeight="false" outlineLevel="0" collapsed="false">
      <c r="I1070" s="0" t="n">
        <v>266.75</v>
      </c>
      <c r="J1070" s="0" t="n">
        <v>272.8</v>
      </c>
      <c r="K1070" s="0" t="n">
        <v>0.5</v>
      </c>
    </row>
    <row r="1071" customFormat="false" ht="12.8" hidden="false" customHeight="false" outlineLevel="0" collapsed="false">
      <c r="I1071" s="0" t="n">
        <v>267</v>
      </c>
      <c r="J1071" s="0" t="n">
        <v>272.9</v>
      </c>
      <c r="K1071" s="0" t="n">
        <v>0.5</v>
      </c>
    </row>
    <row r="1072" customFormat="false" ht="12.8" hidden="false" customHeight="false" outlineLevel="0" collapsed="false">
      <c r="I1072" s="0" t="n">
        <v>267.25</v>
      </c>
      <c r="J1072" s="0" t="n">
        <v>273</v>
      </c>
      <c r="K1072" s="0" t="n">
        <v>0.5</v>
      </c>
    </row>
    <row r="1073" customFormat="false" ht="12.8" hidden="false" customHeight="false" outlineLevel="0" collapsed="false">
      <c r="I1073" s="0" t="n">
        <v>267.5</v>
      </c>
      <c r="J1073" s="0" t="n">
        <v>273.2</v>
      </c>
      <c r="K1073" s="0" t="n">
        <v>0.5</v>
      </c>
    </row>
    <row r="1074" customFormat="false" ht="12.8" hidden="false" customHeight="false" outlineLevel="0" collapsed="false">
      <c r="I1074" s="0" t="n">
        <v>267.75</v>
      </c>
      <c r="J1074" s="0" t="n">
        <v>273.3</v>
      </c>
      <c r="K1074" s="0" t="n">
        <v>0.5</v>
      </c>
    </row>
    <row r="1075" customFormat="false" ht="12.8" hidden="false" customHeight="false" outlineLevel="0" collapsed="false">
      <c r="I1075" s="0" t="n">
        <v>268</v>
      </c>
      <c r="J1075" s="0" t="n">
        <v>273.4</v>
      </c>
      <c r="K1075" s="0" t="n">
        <v>0.5</v>
      </c>
    </row>
    <row r="1076" customFormat="false" ht="12.8" hidden="false" customHeight="false" outlineLevel="0" collapsed="false">
      <c r="I1076" s="0" t="n">
        <v>268.25</v>
      </c>
      <c r="J1076" s="0" t="n">
        <v>273.5</v>
      </c>
      <c r="K1076" s="0" t="n">
        <v>0.5</v>
      </c>
    </row>
    <row r="1077" customFormat="false" ht="12.8" hidden="false" customHeight="false" outlineLevel="0" collapsed="false">
      <c r="I1077" s="0" t="n">
        <v>268.5</v>
      </c>
      <c r="J1077" s="0" t="n">
        <v>273.7</v>
      </c>
      <c r="K1077" s="0" t="n">
        <v>0.5</v>
      </c>
    </row>
    <row r="1078" customFormat="false" ht="12.8" hidden="false" customHeight="false" outlineLevel="0" collapsed="false">
      <c r="I1078" s="0" t="n">
        <v>268.75</v>
      </c>
      <c r="J1078" s="0" t="n">
        <v>273.8</v>
      </c>
      <c r="K1078" s="0" t="n">
        <v>0.5</v>
      </c>
    </row>
    <row r="1079" customFormat="false" ht="12.8" hidden="false" customHeight="false" outlineLevel="0" collapsed="false">
      <c r="I1079" s="0" t="n">
        <v>269</v>
      </c>
      <c r="J1079" s="0" t="n">
        <v>273.9</v>
      </c>
      <c r="K1079" s="0" t="n">
        <v>0.5</v>
      </c>
    </row>
    <row r="1080" customFormat="false" ht="12.8" hidden="false" customHeight="false" outlineLevel="0" collapsed="false">
      <c r="I1080" s="0" t="n">
        <v>269.25</v>
      </c>
      <c r="J1080" s="0" t="n">
        <v>274</v>
      </c>
      <c r="K1080" s="0" t="n">
        <v>0.5</v>
      </c>
    </row>
    <row r="1081" customFormat="false" ht="12.8" hidden="false" customHeight="false" outlineLevel="0" collapsed="false">
      <c r="I1081" s="0" t="n">
        <v>269.5</v>
      </c>
      <c r="J1081" s="0" t="n">
        <v>274.2</v>
      </c>
      <c r="K1081" s="0" t="n">
        <v>0.5</v>
      </c>
    </row>
    <row r="1082" customFormat="false" ht="12.8" hidden="false" customHeight="false" outlineLevel="0" collapsed="false">
      <c r="I1082" s="0" t="n">
        <v>269.75</v>
      </c>
      <c r="J1082" s="0" t="n">
        <v>274.3</v>
      </c>
      <c r="K1082" s="0" t="n">
        <v>0.5</v>
      </c>
    </row>
    <row r="1083" customFormat="false" ht="12.8" hidden="false" customHeight="false" outlineLevel="0" collapsed="false">
      <c r="I1083" s="0" t="n">
        <v>270</v>
      </c>
      <c r="J1083" s="0" t="n">
        <v>274.4</v>
      </c>
      <c r="K1083" s="0" t="n">
        <v>0.5</v>
      </c>
    </row>
    <row r="1084" customFormat="false" ht="12.8" hidden="false" customHeight="false" outlineLevel="0" collapsed="false">
      <c r="I1084" s="0" t="n">
        <v>270.25</v>
      </c>
      <c r="J1084" s="0" t="n">
        <v>274.5</v>
      </c>
      <c r="K1084" s="0" t="n">
        <v>0.5</v>
      </c>
    </row>
    <row r="1085" customFormat="false" ht="12.8" hidden="false" customHeight="false" outlineLevel="0" collapsed="false">
      <c r="I1085" s="0" t="n">
        <v>270.5</v>
      </c>
      <c r="J1085" s="0" t="n">
        <v>274.7</v>
      </c>
      <c r="K1085" s="0" t="n">
        <v>0.5</v>
      </c>
    </row>
    <row r="1086" customFormat="false" ht="12.8" hidden="false" customHeight="false" outlineLevel="0" collapsed="false">
      <c r="I1086" s="0" t="n">
        <v>270.75</v>
      </c>
      <c r="J1086" s="0" t="n">
        <v>274.8</v>
      </c>
      <c r="K1086" s="0" t="n">
        <v>0.5</v>
      </c>
    </row>
    <row r="1087" customFormat="false" ht="12.8" hidden="false" customHeight="false" outlineLevel="0" collapsed="false">
      <c r="I1087" s="0" t="n">
        <v>271</v>
      </c>
      <c r="J1087" s="0" t="n">
        <v>274.9</v>
      </c>
      <c r="K1087" s="0" t="n">
        <v>0.5</v>
      </c>
    </row>
    <row r="1088" customFormat="false" ht="12.8" hidden="false" customHeight="false" outlineLevel="0" collapsed="false">
      <c r="I1088" s="0" t="n">
        <v>271.25</v>
      </c>
      <c r="J1088" s="0" t="n">
        <v>275</v>
      </c>
      <c r="K1088" s="0" t="n">
        <v>0.5</v>
      </c>
    </row>
    <row r="1089" customFormat="false" ht="12.8" hidden="false" customHeight="false" outlineLevel="0" collapsed="false">
      <c r="I1089" s="0" t="n">
        <v>271.5</v>
      </c>
      <c r="J1089" s="0" t="n">
        <v>275.2</v>
      </c>
      <c r="K1089" s="0" t="n">
        <v>0.5</v>
      </c>
    </row>
    <row r="1090" customFormat="false" ht="12.8" hidden="false" customHeight="false" outlineLevel="0" collapsed="false">
      <c r="I1090" s="0" t="n">
        <v>271.75</v>
      </c>
      <c r="J1090" s="0" t="n">
        <v>275.3</v>
      </c>
      <c r="K1090" s="0" t="n">
        <v>0.5</v>
      </c>
    </row>
    <row r="1091" customFormat="false" ht="12.8" hidden="false" customHeight="false" outlineLevel="0" collapsed="false">
      <c r="I1091" s="0" t="n">
        <v>272</v>
      </c>
      <c r="J1091" s="0" t="n">
        <v>275.4</v>
      </c>
      <c r="K1091" s="0" t="n">
        <v>0.5</v>
      </c>
    </row>
    <row r="1092" customFormat="false" ht="12.8" hidden="false" customHeight="false" outlineLevel="0" collapsed="false">
      <c r="I1092" s="0" t="n">
        <v>272.25</v>
      </c>
      <c r="J1092" s="0" t="n">
        <v>275.6</v>
      </c>
      <c r="K1092" s="0" t="n">
        <v>0.5</v>
      </c>
    </row>
    <row r="1093" customFormat="false" ht="12.8" hidden="false" customHeight="false" outlineLevel="0" collapsed="false">
      <c r="I1093" s="0" t="n">
        <v>272.5</v>
      </c>
      <c r="J1093" s="0" t="n">
        <v>275.7</v>
      </c>
      <c r="K1093" s="0" t="n">
        <v>0.5</v>
      </c>
    </row>
    <row r="1094" customFormat="false" ht="12.8" hidden="false" customHeight="false" outlineLevel="0" collapsed="false">
      <c r="I1094" s="0" t="n">
        <v>272.75</v>
      </c>
      <c r="J1094" s="0" t="n">
        <v>275.8</v>
      </c>
      <c r="K1094" s="0" t="n">
        <v>0.5</v>
      </c>
    </row>
    <row r="1095" customFormat="false" ht="12.8" hidden="false" customHeight="false" outlineLevel="0" collapsed="false">
      <c r="I1095" s="0" t="n">
        <v>273</v>
      </c>
      <c r="J1095" s="0" t="n">
        <v>275.9</v>
      </c>
      <c r="K1095" s="0" t="n">
        <v>0.5</v>
      </c>
    </row>
    <row r="1096" customFormat="false" ht="12.8" hidden="false" customHeight="false" outlineLevel="0" collapsed="false">
      <c r="I1096" s="0" t="n">
        <v>273.25</v>
      </c>
      <c r="J1096" s="0" t="n">
        <v>276.1</v>
      </c>
      <c r="K1096" s="0" t="n">
        <v>0.5</v>
      </c>
    </row>
    <row r="1097" customFormat="false" ht="12.8" hidden="false" customHeight="false" outlineLevel="0" collapsed="false">
      <c r="I1097" s="0" t="n">
        <v>273.5</v>
      </c>
      <c r="J1097" s="0" t="n">
        <v>276.2</v>
      </c>
      <c r="K1097" s="0" t="n">
        <v>0.5</v>
      </c>
    </row>
    <row r="1098" customFormat="false" ht="12.8" hidden="false" customHeight="false" outlineLevel="0" collapsed="false">
      <c r="I1098" s="0" t="n">
        <v>273.75</v>
      </c>
      <c r="J1098" s="0" t="n">
        <v>276.3</v>
      </c>
      <c r="K1098" s="0" t="n">
        <v>0.5</v>
      </c>
    </row>
    <row r="1099" customFormat="false" ht="12.8" hidden="false" customHeight="false" outlineLevel="0" collapsed="false">
      <c r="I1099" s="0" t="n">
        <v>274</v>
      </c>
      <c r="J1099" s="0" t="n">
        <v>276.4</v>
      </c>
      <c r="K1099" s="0" t="n">
        <v>0.5</v>
      </c>
    </row>
    <row r="1100" customFormat="false" ht="12.8" hidden="false" customHeight="false" outlineLevel="0" collapsed="false">
      <c r="I1100" s="0" t="n">
        <v>274.25</v>
      </c>
      <c r="J1100" s="0" t="n">
        <v>276.6</v>
      </c>
      <c r="K1100" s="0" t="n">
        <v>0.5</v>
      </c>
    </row>
    <row r="1101" customFormat="false" ht="12.8" hidden="false" customHeight="false" outlineLevel="0" collapsed="false">
      <c r="I1101" s="0" t="n">
        <v>274.5</v>
      </c>
      <c r="J1101" s="0" t="n">
        <v>276.7</v>
      </c>
      <c r="K1101" s="0" t="n">
        <v>0.5</v>
      </c>
    </row>
    <row r="1102" customFormat="false" ht="12.8" hidden="false" customHeight="false" outlineLevel="0" collapsed="false">
      <c r="I1102" s="0" t="n">
        <v>274.75</v>
      </c>
      <c r="J1102" s="0" t="n">
        <v>276.8</v>
      </c>
      <c r="K1102" s="0" t="n">
        <v>0.5</v>
      </c>
    </row>
    <row r="1103" customFormat="false" ht="12.8" hidden="false" customHeight="false" outlineLevel="0" collapsed="false">
      <c r="I1103" s="0" t="n">
        <v>275</v>
      </c>
      <c r="J1103" s="0" t="n">
        <v>276.9</v>
      </c>
      <c r="K1103" s="0" t="n">
        <v>0.5</v>
      </c>
    </row>
    <row r="1104" customFormat="false" ht="12.8" hidden="false" customHeight="false" outlineLevel="0" collapsed="false">
      <c r="I1104" s="0" t="n">
        <v>275.25</v>
      </c>
      <c r="J1104" s="0" t="n">
        <v>277.1</v>
      </c>
      <c r="K1104" s="0" t="n">
        <v>0.5</v>
      </c>
    </row>
    <row r="1105" customFormat="false" ht="12.8" hidden="false" customHeight="false" outlineLevel="0" collapsed="false">
      <c r="I1105" s="0" t="n">
        <v>275.5</v>
      </c>
      <c r="J1105" s="0" t="n">
        <v>277.2</v>
      </c>
      <c r="K1105" s="0" t="n">
        <v>0.5</v>
      </c>
    </row>
    <row r="1106" customFormat="false" ht="12.8" hidden="false" customHeight="false" outlineLevel="0" collapsed="false">
      <c r="I1106" s="0" t="n">
        <v>275.75</v>
      </c>
      <c r="J1106" s="0" t="n">
        <v>277.3</v>
      </c>
      <c r="K1106" s="0" t="n">
        <v>0.5</v>
      </c>
    </row>
    <row r="1107" customFormat="false" ht="12.8" hidden="false" customHeight="false" outlineLevel="0" collapsed="false">
      <c r="I1107" s="0" t="n">
        <v>276</v>
      </c>
      <c r="J1107" s="0" t="n">
        <v>277.5</v>
      </c>
      <c r="K1107" s="0" t="n">
        <v>0.5</v>
      </c>
    </row>
    <row r="1108" customFormat="false" ht="12.8" hidden="false" customHeight="false" outlineLevel="0" collapsed="false">
      <c r="I1108" s="0" t="n">
        <v>276.25</v>
      </c>
      <c r="J1108" s="0" t="n">
        <v>277.6</v>
      </c>
      <c r="K1108" s="0" t="n">
        <v>0.5</v>
      </c>
    </row>
    <row r="1109" customFormat="false" ht="12.8" hidden="false" customHeight="false" outlineLevel="0" collapsed="false">
      <c r="I1109" s="0" t="n">
        <v>276.5</v>
      </c>
      <c r="J1109" s="0" t="n">
        <v>277.7</v>
      </c>
      <c r="K1109" s="0" t="n">
        <v>0.5</v>
      </c>
    </row>
    <row r="1110" customFormat="false" ht="12.8" hidden="false" customHeight="false" outlineLevel="0" collapsed="false">
      <c r="I1110" s="0" t="n">
        <v>276.75</v>
      </c>
      <c r="J1110" s="0" t="n">
        <v>277.8</v>
      </c>
      <c r="K1110" s="0" t="n">
        <v>0.5</v>
      </c>
    </row>
    <row r="1111" customFormat="false" ht="12.8" hidden="false" customHeight="false" outlineLevel="0" collapsed="false">
      <c r="I1111" s="0" t="n">
        <v>277</v>
      </c>
      <c r="J1111" s="0" t="n">
        <v>278</v>
      </c>
      <c r="K1111" s="0" t="n">
        <v>0.5</v>
      </c>
    </row>
    <row r="1112" customFormat="false" ht="12.8" hidden="false" customHeight="false" outlineLevel="0" collapsed="false">
      <c r="I1112" s="0" t="n">
        <v>277.25</v>
      </c>
      <c r="J1112" s="0" t="n">
        <v>278.1</v>
      </c>
      <c r="K1112" s="0" t="n">
        <v>0.5</v>
      </c>
    </row>
    <row r="1113" customFormat="false" ht="12.8" hidden="false" customHeight="false" outlineLevel="0" collapsed="false">
      <c r="I1113" s="0" t="n">
        <v>277.5</v>
      </c>
      <c r="J1113" s="0" t="n">
        <v>278.2</v>
      </c>
      <c r="K1113" s="0" t="n">
        <v>0.5</v>
      </c>
    </row>
    <row r="1114" customFormat="false" ht="12.8" hidden="false" customHeight="false" outlineLevel="0" collapsed="false">
      <c r="I1114" s="0" t="n">
        <v>277.75</v>
      </c>
      <c r="J1114" s="0" t="n">
        <v>278.3</v>
      </c>
      <c r="K1114" s="0" t="n">
        <v>0.5</v>
      </c>
    </row>
    <row r="1115" customFormat="false" ht="12.8" hidden="false" customHeight="false" outlineLevel="0" collapsed="false">
      <c r="I1115" s="0" t="n">
        <v>278</v>
      </c>
      <c r="J1115" s="0" t="n">
        <v>278.5</v>
      </c>
      <c r="K1115" s="0" t="n">
        <v>0.5</v>
      </c>
    </row>
    <row r="1116" customFormat="false" ht="12.8" hidden="false" customHeight="false" outlineLevel="0" collapsed="false">
      <c r="I1116" s="0" t="n">
        <v>278.25</v>
      </c>
      <c r="J1116" s="0" t="n">
        <v>278.6</v>
      </c>
      <c r="K1116" s="0" t="n">
        <v>0.5</v>
      </c>
    </row>
    <row r="1117" customFormat="false" ht="12.8" hidden="false" customHeight="false" outlineLevel="0" collapsed="false">
      <c r="I1117" s="0" t="n">
        <v>278.5</v>
      </c>
      <c r="J1117" s="0" t="n">
        <v>278.7</v>
      </c>
      <c r="K1117" s="0" t="n">
        <v>0.5</v>
      </c>
    </row>
    <row r="1118" customFormat="false" ht="12.8" hidden="false" customHeight="false" outlineLevel="0" collapsed="false">
      <c r="I1118" s="0" t="n">
        <v>278.75</v>
      </c>
      <c r="J1118" s="0" t="n">
        <v>278.8</v>
      </c>
      <c r="K1118" s="0" t="n">
        <v>0.5</v>
      </c>
    </row>
    <row r="1119" customFormat="false" ht="12.8" hidden="false" customHeight="false" outlineLevel="0" collapsed="false">
      <c r="I1119" s="0" t="n">
        <v>279</v>
      </c>
      <c r="J1119" s="0" t="n">
        <v>279</v>
      </c>
      <c r="K1119" s="0" t="n">
        <v>0.5</v>
      </c>
    </row>
    <row r="1120" customFormat="false" ht="12.8" hidden="false" customHeight="false" outlineLevel="0" collapsed="false">
      <c r="I1120" s="0" t="n">
        <v>279.25</v>
      </c>
      <c r="J1120" s="0" t="n">
        <v>279.1</v>
      </c>
      <c r="K1120" s="0" t="n">
        <v>0.5</v>
      </c>
    </row>
    <row r="1121" customFormat="false" ht="12.8" hidden="false" customHeight="false" outlineLevel="0" collapsed="false">
      <c r="I1121" s="0" t="n">
        <v>279.5</v>
      </c>
      <c r="J1121" s="0" t="n">
        <v>279.2</v>
      </c>
      <c r="K1121" s="0" t="n">
        <v>0.5</v>
      </c>
    </row>
    <row r="1122" customFormat="false" ht="12.8" hidden="false" customHeight="false" outlineLevel="0" collapsed="false">
      <c r="I1122" s="0" t="n">
        <v>279.75</v>
      </c>
      <c r="J1122" s="0" t="n">
        <v>279.4</v>
      </c>
      <c r="K1122" s="0" t="n">
        <v>0.5</v>
      </c>
    </row>
    <row r="1123" customFormat="false" ht="12.8" hidden="false" customHeight="false" outlineLevel="0" collapsed="false">
      <c r="I1123" s="0" t="n">
        <v>280</v>
      </c>
      <c r="J1123" s="0" t="n">
        <v>279.7</v>
      </c>
      <c r="K1123" s="0" t="n">
        <v>1.2</v>
      </c>
    </row>
    <row r="1124" customFormat="false" ht="12.8" hidden="false" customHeight="false" outlineLevel="0" collapsed="false">
      <c r="I1124" s="0" t="n">
        <v>280.25</v>
      </c>
      <c r="J1124" s="0" t="n">
        <v>280</v>
      </c>
      <c r="K1124" s="0" t="n">
        <v>1.2</v>
      </c>
    </row>
    <row r="1125" customFormat="false" ht="12.8" hidden="false" customHeight="false" outlineLevel="0" collapsed="false">
      <c r="I1125" s="0" t="n">
        <v>280.5</v>
      </c>
      <c r="J1125" s="0" t="n">
        <v>280.3</v>
      </c>
      <c r="K1125" s="0" t="n">
        <v>1.2</v>
      </c>
    </row>
    <row r="1126" customFormat="false" ht="12.8" hidden="false" customHeight="false" outlineLevel="0" collapsed="false">
      <c r="I1126" s="0" t="n">
        <v>280.75</v>
      </c>
      <c r="J1126" s="0" t="n">
        <v>280.6</v>
      </c>
      <c r="K1126" s="0" t="n">
        <v>1.2</v>
      </c>
    </row>
    <row r="1127" customFormat="false" ht="12.8" hidden="false" customHeight="false" outlineLevel="0" collapsed="false">
      <c r="I1127" s="0" t="n">
        <v>281</v>
      </c>
      <c r="J1127" s="0" t="n">
        <v>280.9</v>
      </c>
      <c r="K1127" s="0" t="n">
        <v>1.2</v>
      </c>
    </row>
    <row r="1128" customFormat="false" ht="12.8" hidden="false" customHeight="false" outlineLevel="0" collapsed="false">
      <c r="I1128" s="0" t="n">
        <v>281.25</v>
      </c>
      <c r="J1128" s="0" t="n">
        <v>281.2</v>
      </c>
      <c r="K1128" s="0" t="n">
        <v>1.2</v>
      </c>
    </row>
    <row r="1129" customFormat="false" ht="12.8" hidden="false" customHeight="false" outlineLevel="0" collapsed="false">
      <c r="I1129" s="0" t="n">
        <v>281.5</v>
      </c>
      <c r="J1129" s="0" t="n">
        <v>281.5</v>
      </c>
      <c r="K1129" s="0" t="n">
        <v>1.2</v>
      </c>
    </row>
    <row r="1130" customFormat="false" ht="12.8" hidden="false" customHeight="false" outlineLevel="0" collapsed="false">
      <c r="I1130" s="0" t="n">
        <v>281.75</v>
      </c>
      <c r="J1130" s="0" t="n">
        <v>281.8</v>
      </c>
      <c r="K1130" s="0" t="n">
        <v>1.2</v>
      </c>
    </row>
    <row r="1131" customFormat="false" ht="12.8" hidden="false" customHeight="false" outlineLevel="0" collapsed="false">
      <c r="I1131" s="0" t="n">
        <v>282</v>
      </c>
      <c r="J1131" s="0" t="n">
        <v>282.1</v>
      </c>
      <c r="K1131" s="0" t="n">
        <v>1.2</v>
      </c>
    </row>
    <row r="1132" customFormat="false" ht="12.8" hidden="false" customHeight="false" outlineLevel="0" collapsed="false">
      <c r="I1132" s="0" t="n">
        <v>282.25</v>
      </c>
      <c r="J1132" s="0" t="n">
        <v>282.4</v>
      </c>
      <c r="K1132" s="0" t="n">
        <v>1.2</v>
      </c>
    </row>
    <row r="1133" customFormat="false" ht="12.8" hidden="false" customHeight="false" outlineLevel="0" collapsed="false">
      <c r="I1133" s="0" t="n">
        <v>282.5</v>
      </c>
      <c r="J1133" s="0" t="n">
        <v>282.8</v>
      </c>
      <c r="K1133" s="0" t="n">
        <v>1.2</v>
      </c>
    </row>
    <row r="1134" customFormat="false" ht="12.8" hidden="false" customHeight="false" outlineLevel="0" collapsed="false">
      <c r="I1134" s="0" t="n">
        <v>282.75</v>
      </c>
      <c r="J1134" s="0" t="n">
        <v>283.1</v>
      </c>
      <c r="K1134" s="0" t="n">
        <v>1.2</v>
      </c>
    </row>
    <row r="1135" customFormat="false" ht="12.8" hidden="false" customHeight="false" outlineLevel="0" collapsed="false">
      <c r="I1135" s="0" t="n">
        <v>283</v>
      </c>
      <c r="J1135" s="0" t="n">
        <v>283.4</v>
      </c>
      <c r="K1135" s="0" t="n">
        <v>1.2</v>
      </c>
    </row>
    <row r="1136" customFormat="false" ht="12.8" hidden="false" customHeight="false" outlineLevel="0" collapsed="false">
      <c r="I1136" s="0" t="n">
        <v>283.25</v>
      </c>
      <c r="J1136" s="0" t="n">
        <v>283.7</v>
      </c>
      <c r="K1136" s="0" t="n">
        <v>1.2</v>
      </c>
    </row>
    <row r="1137" customFormat="false" ht="12.8" hidden="false" customHeight="false" outlineLevel="0" collapsed="false">
      <c r="I1137" s="0" t="n">
        <v>283.5</v>
      </c>
      <c r="J1137" s="0" t="n">
        <v>284</v>
      </c>
      <c r="K1137" s="0" t="n">
        <v>1.2</v>
      </c>
    </row>
    <row r="1138" customFormat="false" ht="12.8" hidden="false" customHeight="false" outlineLevel="0" collapsed="false">
      <c r="I1138" s="0" t="n">
        <v>283.75</v>
      </c>
      <c r="J1138" s="0" t="n">
        <v>284.3</v>
      </c>
      <c r="K1138" s="0" t="n">
        <v>1.2</v>
      </c>
    </row>
    <row r="1139" customFormat="false" ht="12.8" hidden="false" customHeight="false" outlineLevel="0" collapsed="false">
      <c r="I1139" s="0" t="n">
        <v>284</v>
      </c>
      <c r="J1139" s="0" t="n">
        <v>284.6</v>
      </c>
      <c r="K1139" s="0" t="n">
        <v>1.2</v>
      </c>
    </row>
    <row r="1140" customFormat="false" ht="12.8" hidden="false" customHeight="false" outlineLevel="0" collapsed="false">
      <c r="I1140" s="0" t="n">
        <v>284.25</v>
      </c>
      <c r="J1140" s="0" t="n">
        <v>284.9</v>
      </c>
      <c r="K1140" s="0" t="n">
        <v>1.2</v>
      </c>
    </row>
    <row r="1141" customFormat="false" ht="12.8" hidden="false" customHeight="false" outlineLevel="0" collapsed="false">
      <c r="I1141" s="0" t="n">
        <v>284.5</v>
      </c>
      <c r="J1141" s="0" t="n">
        <v>285.2</v>
      </c>
      <c r="K1141" s="0" t="n">
        <v>1.2</v>
      </c>
    </row>
    <row r="1142" customFormat="false" ht="12.8" hidden="false" customHeight="false" outlineLevel="0" collapsed="false">
      <c r="I1142" s="0" t="n">
        <v>284.75</v>
      </c>
      <c r="J1142" s="0" t="n">
        <v>285.5</v>
      </c>
      <c r="K1142" s="0" t="n">
        <v>1.2</v>
      </c>
    </row>
    <row r="1143" customFormat="false" ht="12.8" hidden="false" customHeight="false" outlineLevel="0" collapsed="false">
      <c r="I1143" s="0" t="n">
        <v>285</v>
      </c>
      <c r="J1143" s="0" t="n">
        <v>285.8</v>
      </c>
      <c r="K1143" s="0" t="n">
        <v>1.2</v>
      </c>
    </row>
    <row r="1144" customFormat="false" ht="12.8" hidden="false" customHeight="false" outlineLevel="0" collapsed="false">
      <c r="I1144" s="0" t="n">
        <v>285.25</v>
      </c>
      <c r="J1144" s="0" t="n">
        <v>286.1</v>
      </c>
      <c r="K1144" s="0" t="n">
        <v>1.2</v>
      </c>
    </row>
    <row r="1145" customFormat="false" ht="12.8" hidden="false" customHeight="false" outlineLevel="0" collapsed="false">
      <c r="I1145" s="0" t="n">
        <v>285.5</v>
      </c>
      <c r="J1145" s="0" t="n">
        <v>293.7</v>
      </c>
      <c r="K1145" s="0" t="n">
        <v>30.3</v>
      </c>
    </row>
    <row r="1146" customFormat="false" ht="12.8" hidden="false" customHeight="false" outlineLevel="0" collapsed="false">
      <c r="I1146" s="0" t="n">
        <v>285.75</v>
      </c>
      <c r="J1146" s="0" t="n">
        <v>295.1</v>
      </c>
      <c r="K1146" s="0" t="n">
        <v>5.3</v>
      </c>
    </row>
    <row r="1147" customFormat="false" ht="12.8" hidden="false" customHeight="false" outlineLevel="0" collapsed="false">
      <c r="I1147" s="0" t="n">
        <v>286</v>
      </c>
      <c r="J1147" s="0" t="n">
        <v>296.4</v>
      </c>
      <c r="K1147" s="0" t="n">
        <v>5.3</v>
      </c>
    </row>
    <row r="1148" customFormat="false" ht="12.8" hidden="false" customHeight="false" outlineLevel="0" collapsed="false">
      <c r="I1148" s="0" t="n">
        <v>286.25</v>
      </c>
      <c r="J1148" s="0" t="n">
        <v>297.7</v>
      </c>
      <c r="K1148" s="0" t="n">
        <v>5.3</v>
      </c>
    </row>
    <row r="1149" customFormat="false" ht="12.8" hidden="false" customHeight="false" outlineLevel="0" collapsed="false">
      <c r="I1149" s="0" t="n">
        <v>286.5</v>
      </c>
      <c r="J1149" s="0" t="n">
        <v>299</v>
      </c>
      <c r="K1149" s="0" t="n">
        <v>5.3</v>
      </c>
    </row>
    <row r="1150" customFormat="false" ht="12.8" hidden="false" customHeight="false" outlineLevel="0" collapsed="false">
      <c r="I1150" s="0" t="n">
        <v>286.75</v>
      </c>
      <c r="J1150" s="0" t="n">
        <v>300.3</v>
      </c>
      <c r="K1150" s="0" t="n">
        <v>5.3</v>
      </c>
    </row>
    <row r="1151" customFormat="false" ht="12.8" hidden="false" customHeight="false" outlineLevel="0" collapsed="false">
      <c r="I1151" s="0" t="n">
        <v>287</v>
      </c>
      <c r="J1151" s="0" t="n">
        <v>301.4</v>
      </c>
      <c r="K1151" s="0" t="n">
        <v>4.4</v>
      </c>
    </row>
    <row r="1152" customFormat="false" ht="12.8" hidden="false" customHeight="false" outlineLevel="0" collapsed="false">
      <c r="I1152" s="0" t="n">
        <v>287.25</v>
      </c>
      <c r="J1152" s="0" t="n">
        <v>302.5</v>
      </c>
      <c r="K1152" s="0" t="n">
        <v>4.4</v>
      </c>
    </row>
    <row r="1153" customFormat="false" ht="12.8" hidden="false" customHeight="false" outlineLevel="0" collapsed="false">
      <c r="I1153" s="0" t="n">
        <v>287.5</v>
      </c>
      <c r="J1153" s="0" t="n">
        <v>303.6</v>
      </c>
      <c r="K1153" s="0" t="n">
        <v>4.4</v>
      </c>
    </row>
    <row r="1154" customFormat="false" ht="12.8" hidden="false" customHeight="false" outlineLevel="0" collapsed="false">
      <c r="I1154" s="0" t="n">
        <v>287.75</v>
      </c>
      <c r="J1154" s="0" t="n">
        <v>304.7</v>
      </c>
      <c r="K1154" s="0" t="n">
        <v>4.4</v>
      </c>
    </row>
    <row r="1155" customFormat="false" ht="12.8" hidden="false" customHeight="false" outlineLevel="0" collapsed="false">
      <c r="I1155" s="0" t="n">
        <v>288</v>
      </c>
      <c r="J1155" s="0" t="n">
        <v>305.8</v>
      </c>
      <c r="K1155" s="0" t="n">
        <v>4.4</v>
      </c>
    </row>
    <row r="1156" customFormat="false" ht="12.8" hidden="false" customHeight="false" outlineLevel="0" collapsed="false">
      <c r="I1156" s="0" t="n">
        <v>288.25</v>
      </c>
      <c r="J1156" s="0" t="n">
        <v>306.9</v>
      </c>
      <c r="K1156" s="0" t="n">
        <v>4.4</v>
      </c>
    </row>
    <row r="1157" customFormat="false" ht="12.8" hidden="false" customHeight="false" outlineLevel="0" collapsed="false">
      <c r="I1157" s="0" t="n">
        <v>288.5</v>
      </c>
      <c r="J1157" s="0" t="n">
        <v>307.6</v>
      </c>
      <c r="K1157" s="0" t="n">
        <v>2.7</v>
      </c>
    </row>
    <row r="1158" customFormat="false" ht="12.8" hidden="false" customHeight="false" outlineLevel="0" collapsed="false">
      <c r="I1158" s="0" t="n">
        <v>288.75</v>
      </c>
      <c r="J1158" s="0" t="n">
        <v>307.9</v>
      </c>
      <c r="K1158" s="0" t="n">
        <v>1.4</v>
      </c>
    </row>
    <row r="1159" customFormat="false" ht="12.8" hidden="false" customHeight="false" outlineLevel="0" collapsed="false">
      <c r="I1159" s="0" t="n">
        <v>289</v>
      </c>
      <c r="J1159" s="0" t="n">
        <v>308.3</v>
      </c>
      <c r="K1159" s="0" t="n">
        <v>1.4</v>
      </c>
    </row>
    <row r="1160" customFormat="false" ht="12.8" hidden="false" customHeight="false" outlineLevel="0" collapsed="false">
      <c r="I1160" s="0" t="n">
        <v>289.25</v>
      </c>
      <c r="J1160" s="0" t="n">
        <v>308.6</v>
      </c>
      <c r="K1160" s="0" t="n">
        <v>1.4</v>
      </c>
    </row>
    <row r="1161" customFormat="false" ht="12.8" hidden="false" customHeight="false" outlineLevel="0" collapsed="false">
      <c r="I1161" s="0" t="n">
        <v>289.5</v>
      </c>
      <c r="J1161" s="0" t="n">
        <v>309</v>
      </c>
      <c r="K1161" s="0" t="n">
        <v>1.4</v>
      </c>
    </row>
    <row r="1162" customFormat="false" ht="12.8" hidden="false" customHeight="false" outlineLevel="0" collapsed="false">
      <c r="I1162" s="0" t="n">
        <v>289.75</v>
      </c>
      <c r="J1162" s="0" t="n">
        <v>309.3</v>
      </c>
      <c r="K1162" s="0" t="n">
        <v>1.4</v>
      </c>
    </row>
    <row r="1163" customFormat="false" ht="12.8" hidden="false" customHeight="false" outlineLevel="0" collapsed="false">
      <c r="I1163" s="0" t="n">
        <v>290</v>
      </c>
      <c r="J1163" s="0" t="n">
        <v>309.7</v>
      </c>
      <c r="K1163" s="0" t="n">
        <v>1.4</v>
      </c>
    </row>
    <row r="1164" customFormat="false" ht="12.8" hidden="false" customHeight="false" outlineLevel="0" collapsed="false">
      <c r="I1164" s="0" t="n">
        <v>290.25</v>
      </c>
      <c r="J1164" s="0" t="n">
        <v>310</v>
      </c>
      <c r="K1164" s="0" t="n">
        <v>1.4</v>
      </c>
    </row>
    <row r="1165" customFormat="false" ht="12.8" hidden="false" customHeight="false" outlineLevel="0" collapsed="false">
      <c r="I1165" s="0" t="n">
        <v>290.5</v>
      </c>
      <c r="J1165" s="0" t="n">
        <v>310.4</v>
      </c>
      <c r="K1165" s="0" t="n">
        <v>1.4</v>
      </c>
    </row>
    <row r="1166" customFormat="false" ht="12.8" hidden="false" customHeight="false" outlineLevel="0" collapsed="false">
      <c r="I1166" s="0" t="n">
        <v>290.75</v>
      </c>
      <c r="J1166" s="0" t="n">
        <v>310.7</v>
      </c>
      <c r="K1166" s="0" t="n">
        <v>1.4</v>
      </c>
    </row>
    <row r="1167" customFormat="false" ht="12.8" hidden="false" customHeight="false" outlineLevel="0" collapsed="false">
      <c r="I1167" s="0" t="n">
        <v>291</v>
      </c>
      <c r="J1167" s="0" t="n">
        <v>311.1</v>
      </c>
      <c r="K1167" s="0" t="n">
        <v>1.4</v>
      </c>
    </row>
    <row r="1168" customFormat="false" ht="12.8" hidden="false" customHeight="false" outlineLevel="0" collapsed="false">
      <c r="I1168" s="0" t="n">
        <v>291.25</v>
      </c>
      <c r="J1168" s="0" t="n">
        <v>311.4</v>
      </c>
      <c r="K1168" s="0" t="n">
        <v>1.4</v>
      </c>
    </row>
    <row r="1169" customFormat="false" ht="12.8" hidden="false" customHeight="false" outlineLevel="0" collapsed="false">
      <c r="I1169" s="0" t="n">
        <v>291.5</v>
      </c>
      <c r="J1169" s="0" t="n">
        <v>311.8</v>
      </c>
      <c r="K1169" s="0" t="n">
        <v>1.4</v>
      </c>
    </row>
    <row r="1170" customFormat="false" ht="12.8" hidden="false" customHeight="false" outlineLevel="0" collapsed="false">
      <c r="I1170" s="0" t="n">
        <v>291.75</v>
      </c>
      <c r="J1170" s="0" t="n">
        <v>312.1</v>
      </c>
      <c r="K1170" s="0" t="n">
        <v>1.4</v>
      </c>
    </row>
    <row r="1171" customFormat="false" ht="12.8" hidden="false" customHeight="false" outlineLevel="0" collapsed="false">
      <c r="I1171" s="0" t="n">
        <v>292</v>
      </c>
      <c r="J1171" s="0" t="n">
        <v>312.5</v>
      </c>
      <c r="K1171" s="0" t="n">
        <v>1.4</v>
      </c>
    </row>
    <row r="1172" customFormat="false" ht="12.8" hidden="false" customHeight="false" outlineLevel="0" collapsed="false">
      <c r="I1172" s="0" t="n">
        <v>292.25</v>
      </c>
      <c r="J1172" s="0" t="n">
        <v>312.8</v>
      </c>
      <c r="K1172" s="0" t="n">
        <v>1.4</v>
      </c>
    </row>
    <row r="1173" customFormat="false" ht="12.8" hidden="false" customHeight="false" outlineLevel="0" collapsed="false">
      <c r="I1173" s="0" t="n">
        <v>292.5</v>
      </c>
      <c r="J1173" s="0" t="n">
        <v>313.2</v>
      </c>
      <c r="K1173" s="0" t="n">
        <v>1.4</v>
      </c>
    </row>
    <row r="1174" customFormat="false" ht="12.8" hidden="false" customHeight="false" outlineLevel="0" collapsed="false">
      <c r="I1174" s="0" t="n">
        <v>292.75</v>
      </c>
      <c r="J1174" s="0" t="n">
        <v>313.6</v>
      </c>
      <c r="K1174" s="0" t="n">
        <v>1.4</v>
      </c>
    </row>
    <row r="1175" customFormat="false" ht="12.8" hidden="false" customHeight="false" outlineLevel="0" collapsed="false">
      <c r="I1175" s="0" t="n">
        <v>293</v>
      </c>
      <c r="J1175" s="0" t="n">
        <v>313.9</v>
      </c>
      <c r="K1175" s="0" t="n">
        <v>1.4</v>
      </c>
    </row>
    <row r="1176" customFormat="false" ht="12.8" hidden="false" customHeight="false" outlineLevel="0" collapsed="false">
      <c r="I1176" s="0" t="n">
        <v>293.25</v>
      </c>
      <c r="J1176" s="0" t="n">
        <v>314.3</v>
      </c>
      <c r="K1176" s="0" t="n">
        <v>1.4</v>
      </c>
    </row>
    <row r="1177" customFormat="false" ht="12.8" hidden="false" customHeight="false" outlineLevel="0" collapsed="false">
      <c r="I1177" s="0" t="n">
        <v>293.5</v>
      </c>
      <c r="J1177" s="0" t="n">
        <v>314.5</v>
      </c>
      <c r="K1177" s="0" t="n">
        <v>1</v>
      </c>
    </row>
    <row r="1178" customFormat="false" ht="12.8" hidden="false" customHeight="false" outlineLevel="0" collapsed="false">
      <c r="I1178" s="0" t="n">
        <v>293.75</v>
      </c>
      <c r="J1178" s="0" t="n">
        <v>314.7</v>
      </c>
      <c r="K1178" s="0" t="n">
        <v>0.7</v>
      </c>
    </row>
    <row r="1179" customFormat="false" ht="12.8" hidden="false" customHeight="false" outlineLevel="0" collapsed="false">
      <c r="I1179" s="0" t="n">
        <v>294</v>
      </c>
      <c r="J1179" s="0" t="n">
        <v>314.9</v>
      </c>
      <c r="K1179" s="0" t="n">
        <v>0.7</v>
      </c>
    </row>
    <row r="1180" customFormat="false" ht="12.8" hidden="false" customHeight="false" outlineLevel="0" collapsed="false">
      <c r="I1180" s="0" t="n">
        <v>294.25</v>
      </c>
      <c r="J1180" s="0" t="n">
        <v>315</v>
      </c>
      <c r="K1180" s="0" t="n">
        <v>0.7</v>
      </c>
    </row>
    <row r="1181" customFormat="false" ht="12.8" hidden="false" customHeight="false" outlineLevel="0" collapsed="false">
      <c r="I1181" s="0" t="n">
        <v>294.5</v>
      </c>
      <c r="J1181" s="0" t="n">
        <v>315.2</v>
      </c>
      <c r="K1181" s="0" t="n">
        <v>0.7</v>
      </c>
    </row>
    <row r="1182" customFormat="false" ht="12.8" hidden="false" customHeight="false" outlineLevel="0" collapsed="false">
      <c r="I1182" s="0" t="n">
        <v>294.75</v>
      </c>
      <c r="J1182" s="0" t="n">
        <v>315.4</v>
      </c>
      <c r="K1182" s="0" t="n">
        <v>0.7</v>
      </c>
    </row>
    <row r="1183" customFormat="false" ht="12.8" hidden="false" customHeight="false" outlineLevel="0" collapsed="false">
      <c r="I1183" s="0" t="n">
        <v>295</v>
      </c>
      <c r="J1183" s="0" t="n">
        <v>315.6</v>
      </c>
      <c r="K1183" s="0" t="n">
        <v>0.7</v>
      </c>
    </row>
    <row r="1184" customFormat="false" ht="12.8" hidden="false" customHeight="false" outlineLevel="0" collapsed="false">
      <c r="I1184" s="0" t="n">
        <v>295.25</v>
      </c>
      <c r="J1184" s="0" t="n">
        <v>315.7</v>
      </c>
      <c r="K1184" s="0" t="n">
        <v>0.7</v>
      </c>
    </row>
    <row r="1185" customFormat="false" ht="12.8" hidden="false" customHeight="false" outlineLevel="0" collapsed="false">
      <c r="I1185" s="0" t="n">
        <v>295.5</v>
      </c>
      <c r="J1185" s="0" t="n">
        <v>315.9</v>
      </c>
      <c r="K1185" s="0" t="n">
        <v>0.7</v>
      </c>
    </row>
    <row r="1186" customFormat="false" ht="12.8" hidden="false" customHeight="false" outlineLevel="0" collapsed="false">
      <c r="I1186" s="0" t="n">
        <v>295.75</v>
      </c>
      <c r="J1186" s="0" t="n">
        <v>316.1</v>
      </c>
      <c r="K1186" s="0" t="n">
        <v>0.7</v>
      </c>
    </row>
    <row r="1187" customFormat="false" ht="12.8" hidden="false" customHeight="false" outlineLevel="0" collapsed="false">
      <c r="I1187" s="0" t="n">
        <v>296</v>
      </c>
      <c r="J1187" s="0" t="n">
        <v>316.3</v>
      </c>
      <c r="K1187" s="0" t="n">
        <v>0.7</v>
      </c>
    </row>
    <row r="1188" customFormat="false" ht="12.8" hidden="false" customHeight="false" outlineLevel="0" collapsed="false">
      <c r="I1188" s="0" t="n">
        <v>296.25</v>
      </c>
      <c r="J1188" s="0" t="n">
        <v>316.4</v>
      </c>
      <c r="K1188" s="0" t="n">
        <v>0.7</v>
      </c>
    </row>
    <row r="1189" customFormat="false" ht="12.8" hidden="false" customHeight="false" outlineLevel="0" collapsed="false">
      <c r="I1189" s="0" t="n">
        <v>296.5</v>
      </c>
      <c r="J1189" s="0" t="n">
        <v>316.6</v>
      </c>
      <c r="K1189" s="0" t="n">
        <v>0.7</v>
      </c>
    </row>
    <row r="1190" customFormat="false" ht="12.8" hidden="false" customHeight="false" outlineLevel="0" collapsed="false">
      <c r="I1190" s="0" t="n">
        <v>296.75</v>
      </c>
      <c r="J1190" s="0" t="n">
        <v>316.8</v>
      </c>
      <c r="K1190" s="0" t="n">
        <v>0.7</v>
      </c>
    </row>
    <row r="1191" customFormat="false" ht="12.8" hidden="false" customHeight="false" outlineLevel="0" collapsed="false">
      <c r="I1191" s="0" t="n">
        <v>297</v>
      </c>
      <c r="J1191" s="0" t="n">
        <v>317</v>
      </c>
      <c r="K1191" s="0" t="n">
        <v>0.7</v>
      </c>
    </row>
    <row r="1192" customFormat="false" ht="12.8" hidden="false" customHeight="false" outlineLevel="0" collapsed="false">
      <c r="I1192" s="0" t="n">
        <v>297.25</v>
      </c>
      <c r="J1192" s="0" t="n">
        <v>317.1</v>
      </c>
      <c r="K1192" s="0" t="n">
        <v>0.7</v>
      </c>
    </row>
    <row r="1193" customFormat="false" ht="12.8" hidden="false" customHeight="false" outlineLevel="0" collapsed="false">
      <c r="I1193" s="0" t="n">
        <v>297.5</v>
      </c>
      <c r="J1193" s="0" t="n">
        <v>317.3</v>
      </c>
      <c r="K1193" s="0" t="n">
        <v>0.7</v>
      </c>
    </row>
    <row r="1194" customFormat="false" ht="12.8" hidden="false" customHeight="false" outlineLevel="0" collapsed="false">
      <c r="I1194" s="0" t="n">
        <v>297.75</v>
      </c>
      <c r="J1194" s="0" t="n">
        <v>317.5</v>
      </c>
      <c r="K1194" s="0" t="n">
        <v>0.7</v>
      </c>
    </row>
    <row r="1195" customFormat="false" ht="12.8" hidden="false" customHeight="false" outlineLevel="0" collapsed="false">
      <c r="I1195" s="0" t="n">
        <v>298</v>
      </c>
      <c r="J1195" s="0" t="n">
        <v>317.7</v>
      </c>
      <c r="K1195" s="0" t="n">
        <v>0.7</v>
      </c>
    </row>
    <row r="1196" customFormat="false" ht="12.8" hidden="false" customHeight="false" outlineLevel="0" collapsed="false">
      <c r="I1196" s="0" t="n">
        <v>298.25</v>
      </c>
      <c r="J1196" s="0" t="n">
        <v>317.8</v>
      </c>
      <c r="K1196" s="0" t="n">
        <v>0.7</v>
      </c>
    </row>
    <row r="1197" customFormat="false" ht="12.8" hidden="false" customHeight="false" outlineLevel="0" collapsed="false">
      <c r="I1197" s="0" t="n">
        <v>298.5</v>
      </c>
      <c r="J1197" s="0" t="n">
        <v>318</v>
      </c>
      <c r="K1197" s="0" t="n">
        <v>0.7</v>
      </c>
    </row>
    <row r="1198" customFormat="false" ht="12.8" hidden="false" customHeight="false" outlineLevel="0" collapsed="false">
      <c r="I1198" s="0" t="n">
        <v>298.75</v>
      </c>
      <c r="J1198" s="0" t="n">
        <v>318.2</v>
      </c>
      <c r="K1198" s="0" t="n">
        <v>0.7</v>
      </c>
    </row>
    <row r="1199" customFormat="false" ht="12.8" hidden="false" customHeight="false" outlineLevel="0" collapsed="false">
      <c r="I1199" s="0" t="n">
        <v>299</v>
      </c>
      <c r="J1199" s="0" t="n">
        <v>318.4</v>
      </c>
      <c r="K1199" s="0" t="n">
        <v>0.7</v>
      </c>
    </row>
    <row r="1200" customFormat="false" ht="12.8" hidden="false" customHeight="false" outlineLevel="0" collapsed="false">
      <c r="I1200" s="0" t="n">
        <v>299.25</v>
      </c>
      <c r="J1200" s="0" t="n">
        <v>318.5</v>
      </c>
      <c r="K1200" s="0" t="n">
        <v>0.7</v>
      </c>
    </row>
    <row r="1201" customFormat="false" ht="12.8" hidden="false" customHeight="false" outlineLevel="0" collapsed="false">
      <c r="I1201" s="0" t="n">
        <v>299.5</v>
      </c>
      <c r="J1201" s="0" t="n">
        <v>318.7</v>
      </c>
      <c r="K1201" s="0" t="n">
        <v>0.7</v>
      </c>
    </row>
    <row r="1202" customFormat="false" ht="12.8" hidden="false" customHeight="false" outlineLevel="0" collapsed="false">
      <c r="I1202" s="0" t="n">
        <v>299.75</v>
      </c>
      <c r="J1202" s="0" t="n">
        <v>318.9</v>
      </c>
      <c r="K1202" s="0" t="n">
        <v>0.7</v>
      </c>
    </row>
    <row r="1203" customFormat="false" ht="12.8" hidden="false" customHeight="false" outlineLevel="0" collapsed="false">
      <c r="I1203" s="0" t="n">
        <v>300</v>
      </c>
      <c r="J1203" s="0" t="n">
        <v>319.1</v>
      </c>
      <c r="K1203" s="0" t="n">
        <v>0.7</v>
      </c>
    </row>
    <row r="1204" customFormat="false" ht="12.8" hidden="false" customHeight="false" outlineLevel="0" collapsed="false">
      <c r="I1204" s="0" t="n">
        <v>300.25</v>
      </c>
      <c r="J1204" s="0" t="n">
        <v>319.3</v>
      </c>
      <c r="K1204" s="0" t="n">
        <v>0.7</v>
      </c>
    </row>
    <row r="1205" customFormat="false" ht="12.8" hidden="false" customHeight="false" outlineLevel="0" collapsed="false">
      <c r="I1205" s="0" t="n">
        <v>300.5</v>
      </c>
      <c r="J1205" s="0" t="n">
        <v>319.4</v>
      </c>
      <c r="K1205" s="0" t="n">
        <v>0.7</v>
      </c>
    </row>
    <row r="1206" customFormat="false" ht="12.8" hidden="false" customHeight="false" outlineLevel="0" collapsed="false">
      <c r="I1206" s="0" t="n">
        <v>300.75</v>
      </c>
      <c r="J1206" s="0" t="n">
        <v>319.6</v>
      </c>
      <c r="K1206" s="0" t="n">
        <v>0.7</v>
      </c>
    </row>
    <row r="1207" customFormat="false" ht="12.8" hidden="false" customHeight="false" outlineLevel="0" collapsed="false">
      <c r="I1207" s="0" t="n">
        <v>301</v>
      </c>
      <c r="J1207" s="0" t="n">
        <v>319.8</v>
      </c>
      <c r="K1207" s="0" t="n">
        <v>0.7</v>
      </c>
    </row>
    <row r="1208" customFormat="false" ht="12.8" hidden="false" customHeight="false" outlineLevel="0" collapsed="false">
      <c r="I1208" s="0" t="n">
        <v>301.25</v>
      </c>
      <c r="J1208" s="0" t="n">
        <v>320</v>
      </c>
      <c r="K1208" s="0" t="n">
        <v>0.7</v>
      </c>
    </row>
    <row r="1209" customFormat="false" ht="12.8" hidden="false" customHeight="false" outlineLevel="0" collapsed="false">
      <c r="I1209" s="0" t="n">
        <v>301.5</v>
      </c>
      <c r="J1209" s="0" t="n">
        <v>320.1</v>
      </c>
      <c r="K1209" s="0" t="n">
        <v>0.7</v>
      </c>
    </row>
    <row r="1210" customFormat="false" ht="12.8" hidden="false" customHeight="false" outlineLevel="0" collapsed="false">
      <c r="I1210" s="0" t="n">
        <v>301.75</v>
      </c>
      <c r="J1210" s="0" t="n">
        <v>320.3</v>
      </c>
      <c r="K1210" s="0" t="n">
        <v>0.7</v>
      </c>
    </row>
    <row r="1211" customFormat="false" ht="12.8" hidden="false" customHeight="false" outlineLevel="0" collapsed="false">
      <c r="I1211" s="0" t="n">
        <v>302</v>
      </c>
      <c r="J1211" s="0" t="n">
        <v>320.5</v>
      </c>
      <c r="K1211" s="0" t="n">
        <v>0.7</v>
      </c>
    </row>
    <row r="1212" customFormat="false" ht="12.8" hidden="false" customHeight="false" outlineLevel="0" collapsed="false">
      <c r="I1212" s="0" t="n">
        <v>302.25</v>
      </c>
      <c r="J1212" s="0" t="n">
        <v>320.7</v>
      </c>
      <c r="K1212" s="0" t="n">
        <v>0.7</v>
      </c>
    </row>
    <row r="1213" customFormat="false" ht="12.8" hidden="false" customHeight="false" outlineLevel="0" collapsed="false">
      <c r="I1213" s="0" t="n">
        <v>302.5</v>
      </c>
      <c r="J1213" s="0" t="n">
        <v>320.8</v>
      </c>
      <c r="K1213" s="0" t="n">
        <v>0.7</v>
      </c>
    </row>
    <row r="1214" customFormat="false" ht="12.8" hidden="false" customHeight="false" outlineLevel="0" collapsed="false">
      <c r="I1214" s="0" t="n">
        <v>302.75</v>
      </c>
      <c r="J1214" s="0" t="n">
        <v>321</v>
      </c>
      <c r="K1214" s="0" t="n">
        <v>0.7</v>
      </c>
    </row>
    <row r="1215" customFormat="false" ht="12.8" hidden="false" customHeight="false" outlineLevel="0" collapsed="false">
      <c r="I1215" s="0" t="n">
        <v>303</v>
      </c>
      <c r="J1215" s="0" t="n">
        <v>321.2</v>
      </c>
      <c r="K1215" s="0" t="n">
        <v>0.7</v>
      </c>
    </row>
    <row r="1216" customFormat="false" ht="12.8" hidden="false" customHeight="false" outlineLevel="0" collapsed="false">
      <c r="I1216" s="0" t="n">
        <v>303.25</v>
      </c>
      <c r="J1216" s="0" t="n">
        <v>321.4</v>
      </c>
      <c r="K1216" s="0" t="n">
        <v>0.7</v>
      </c>
    </row>
    <row r="1217" customFormat="false" ht="12.8" hidden="false" customHeight="false" outlineLevel="0" collapsed="false">
      <c r="I1217" s="0" t="n">
        <v>303.5</v>
      </c>
      <c r="J1217" s="0" t="n">
        <v>321.6</v>
      </c>
      <c r="K1217" s="0" t="n">
        <v>0.9</v>
      </c>
    </row>
    <row r="1218" customFormat="false" ht="12.8" hidden="false" customHeight="false" outlineLevel="0" collapsed="false">
      <c r="I1218" s="0" t="n">
        <v>303.75</v>
      </c>
      <c r="J1218" s="0" t="n">
        <v>321.9</v>
      </c>
      <c r="K1218" s="0" t="n">
        <v>1.2</v>
      </c>
    </row>
    <row r="1219" customFormat="false" ht="12.8" hidden="false" customHeight="false" outlineLevel="0" collapsed="false">
      <c r="I1219" s="0" t="n">
        <v>304</v>
      </c>
      <c r="J1219" s="0" t="n">
        <v>322.2</v>
      </c>
      <c r="K1219" s="0" t="n">
        <v>1.2</v>
      </c>
    </row>
    <row r="1220" customFormat="false" ht="12.8" hidden="false" customHeight="false" outlineLevel="0" collapsed="false">
      <c r="I1220" s="0" t="n">
        <v>304.25</v>
      </c>
      <c r="J1220" s="0" t="n">
        <v>322.5</v>
      </c>
      <c r="K1220" s="0" t="n">
        <v>1.2</v>
      </c>
    </row>
    <row r="1221" customFormat="false" ht="12.8" hidden="false" customHeight="false" outlineLevel="0" collapsed="false">
      <c r="I1221" s="0" t="n">
        <v>304.5</v>
      </c>
      <c r="J1221" s="0" t="n">
        <v>322.8</v>
      </c>
      <c r="K1221" s="0" t="n">
        <v>1.2</v>
      </c>
    </row>
    <row r="1222" customFormat="false" ht="12.8" hidden="false" customHeight="false" outlineLevel="0" collapsed="false">
      <c r="I1222" s="0" t="n">
        <v>304.75</v>
      </c>
      <c r="J1222" s="0" t="n">
        <v>323.1</v>
      </c>
      <c r="K1222" s="0" t="n">
        <v>1.2</v>
      </c>
    </row>
    <row r="1223" customFormat="false" ht="12.8" hidden="false" customHeight="false" outlineLevel="0" collapsed="false">
      <c r="I1223" s="0" t="n">
        <v>305</v>
      </c>
      <c r="J1223" s="0" t="n">
        <v>323.4</v>
      </c>
      <c r="K1223" s="0" t="n">
        <v>1.2</v>
      </c>
    </row>
    <row r="1224" customFormat="false" ht="12.8" hidden="false" customHeight="false" outlineLevel="0" collapsed="false">
      <c r="I1224" s="0" t="n">
        <v>305.25</v>
      </c>
      <c r="J1224" s="0" t="n">
        <v>323.7</v>
      </c>
      <c r="K1224" s="0" t="n">
        <v>1.2</v>
      </c>
    </row>
    <row r="1225" customFormat="false" ht="12.8" hidden="false" customHeight="false" outlineLevel="0" collapsed="false">
      <c r="I1225" s="0" t="n">
        <v>305.5</v>
      </c>
      <c r="J1225" s="0" t="n">
        <v>324</v>
      </c>
      <c r="K1225" s="0" t="n">
        <v>1.2</v>
      </c>
    </row>
    <row r="1226" customFormat="false" ht="12.8" hidden="false" customHeight="false" outlineLevel="0" collapsed="false">
      <c r="I1226" s="0" t="n">
        <v>305.75</v>
      </c>
      <c r="J1226" s="0" t="n">
        <v>324.3</v>
      </c>
      <c r="K1226" s="0" t="n">
        <v>1.2</v>
      </c>
    </row>
    <row r="1227" customFormat="false" ht="12.8" hidden="false" customHeight="false" outlineLevel="0" collapsed="false">
      <c r="I1227" s="0" t="n">
        <v>306</v>
      </c>
      <c r="J1227" s="0" t="n">
        <v>324.6</v>
      </c>
      <c r="K1227" s="0" t="n">
        <v>1.2</v>
      </c>
    </row>
    <row r="1228" customFormat="false" ht="12.8" hidden="false" customHeight="false" outlineLevel="0" collapsed="false">
      <c r="I1228" s="0" t="n">
        <v>306.25</v>
      </c>
      <c r="J1228" s="0" t="n">
        <v>324.9</v>
      </c>
      <c r="K1228" s="0" t="n">
        <v>1.2</v>
      </c>
    </row>
    <row r="1229" customFormat="false" ht="12.8" hidden="false" customHeight="false" outlineLevel="0" collapsed="false">
      <c r="I1229" s="0" t="n">
        <v>306.5</v>
      </c>
      <c r="J1229" s="0" t="n">
        <v>325.2</v>
      </c>
      <c r="K1229" s="0" t="n">
        <v>1.2</v>
      </c>
    </row>
    <row r="1230" customFormat="false" ht="12.8" hidden="false" customHeight="false" outlineLevel="0" collapsed="false">
      <c r="I1230" s="0" t="n">
        <v>306.75</v>
      </c>
      <c r="J1230" s="0" t="n">
        <v>325.5</v>
      </c>
      <c r="K1230" s="0" t="n">
        <v>1.2</v>
      </c>
    </row>
    <row r="1231" customFormat="false" ht="12.8" hidden="false" customHeight="false" outlineLevel="0" collapsed="false">
      <c r="I1231" s="0" t="n">
        <v>307</v>
      </c>
      <c r="J1231" s="0" t="n">
        <v>325.7</v>
      </c>
      <c r="K1231" s="0" t="n">
        <v>1.2</v>
      </c>
    </row>
    <row r="1232" customFormat="false" ht="12.8" hidden="false" customHeight="false" outlineLevel="0" collapsed="false">
      <c r="I1232" s="0" t="n">
        <v>307.25</v>
      </c>
      <c r="J1232" s="0" t="n">
        <v>326</v>
      </c>
      <c r="K1232" s="0" t="n">
        <v>1.2</v>
      </c>
    </row>
    <row r="1233" customFormat="false" ht="12.8" hidden="false" customHeight="false" outlineLevel="0" collapsed="false">
      <c r="I1233" s="0" t="n">
        <v>307.5</v>
      </c>
      <c r="J1233" s="0" t="n">
        <v>326.3</v>
      </c>
      <c r="K1233" s="0" t="n">
        <v>1.2</v>
      </c>
    </row>
    <row r="1234" customFormat="false" ht="12.8" hidden="false" customHeight="false" outlineLevel="0" collapsed="false">
      <c r="I1234" s="0" t="n">
        <v>307.75</v>
      </c>
      <c r="J1234" s="0" t="n">
        <v>326.6</v>
      </c>
      <c r="K1234" s="0" t="n">
        <v>1.2</v>
      </c>
    </row>
    <row r="1235" customFormat="false" ht="12.8" hidden="false" customHeight="false" outlineLevel="0" collapsed="false">
      <c r="I1235" s="0" t="n">
        <v>308</v>
      </c>
      <c r="J1235" s="0" t="n">
        <v>326.9</v>
      </c>
      <c r="K1235" s="0" t="n">
        <v>1.2</v>
      </c>
    </row>
    <row r="1236" customFormat="false" ht="12.8" hidden="false" customHeight="false" outlineLevel="0" collapsed="false">
      <c r="I1236" s="0" t="n">
        <v>308.25</v>
      </c>
      <c r="J1236" s="0" t="n">
        <v>327.2</v>
      </c>
      <c r="K1236" s="0" t="n">
        <v>1.2</v>
      </c>
    </row>
    <row r="1237" customFormat="false" ht="12.8" hidden="false" customHeight="false" outlineLevel="0" collapsed="false">
      <c r="I1237" s="0" t="n">
        <v>308.5</v>
      </c>
      <c r="J1237" s="0" t="n">
        <v>327.5</v>
      </c>
      <c r="K1237" s="0" t="n">
        <v>1.2</v>
      </c>
    </row>
    <row r="1238" customFormat="false" ht="12.8" hidden="false" customHeight="false" outlineLevel="0" collapsed="false">
      <c r="I1238" s="0" t="n">
        <v>308.75</v>
      </c>
      <c r="J1238" s="0" t="n">
        <v>327.8</v>
      </c>
      <c r="K1238" s="0" t="n">
        <v>1.2</v>
      </c>
    </row>
    <row r="1239" customFormat="false" ht="12.8" hidden="false" customHeight="false" outlineLevel="0" collapsed="false">
      <c r="I1239" s="0" t="n">
        <v>309</v>
      </c>
      <c r="J1239" s="0" t="n">
        <v>328.1</v>
      </c>
      <c r="K1239" s="0" t="n">
        <v>1.2</v>
      </c>
    </row>
    <row r="1240" customFormat="false" ht="12.8" hidden="false" customHeight="false" outlineLevel="0" collapsed="false">
      <c r="I1240" s="0" t="n">
        <v>309.25</v>
      </c>
      <c r="J1240" s="0" t="n">
        <v>328.4</v>
      </c>
      <c r="K1240" s="0" t="n">
        <v>1.2</v>
      </c>
    </row>
    <row r="1241" customFormat="false" ht="12.8" hidden="false" customHeight="false" outlineLevel="0" collapsed="false">
      <c r="I1241" s="0" t="n">
        <v>309.5</v>
      </c>
      <c r="J1241" s="0" t="n">
        <v>336.4</v>
      </c>
      <c r="K1241" s="0" t="n">
        <v>31.9</v>
      </c>
    </row>
    <row r="1242" customFormat="false" ht="12.8" hidden="false" customHeight="false" outlineLevel="0" collapsed="false">
      <c r="I1242" s="0" t="n">
        <v>309.75</v>
      </c>
      <c r="J1242" s="0" t="n">
        <v>338.4</v>
      </c>
      <c r="K1242" s="0" t="n">
        <v>8.1</v>
      </c>
    </row>
    <row r="1243" customFormat="false" ht="12.8" hidden="false" customHeight="false" outlineLevel="0" collapsed="false">
      <c r="I1243" s="0" t="n">
        <v>310</v>
      </c>
      <c r="J1243" s="0" t="n">
        <v>340.5</v>
      </c>
      <c r="K1243" s="0" t="n">
        <v>8.1</v>
      </c>
    </row>
    <row r="1244" customFormat="false" ht="12.8" hidden="false" customHeight="false" outlineLevel="0" collapsed="false">
      <c r="I1244" s="0" t="n">
        <v>310.25</v>
      </c>
      <c r="J1244" s="0" t="n">
        <v>342.5</v>
      </c>
      <c r="K1244" s="0" t="n">
        <v>8.1</v>
      </c>
    </row>
    <row r="1245" customFormat="false" ht="12.8" hidden="false" customHeight="false" outlineLevel="0" collapsed="false">
      <c r="I1245" s="0" t="n">
        <v>310.5</v>
      </c>
      <c r="J1245" s="0" t="n">
        <v>343.8</v>
      </c>
      <c r="K1245" s="0" t="n">
        <v>5.2</v>
      </c>
    </row>
    <row r="1246" customFormat="false" ht="12.8" hidden="false" customHeight="false" outlineLevel="0" collapsed="false">
      <c r="I1246" s="0" t="n">
        <v>310.75</v>
      </c>
      <c r="J1246" s="0" t="n">
        <v>344.9</v>
      </c>
      <c r="K1246" s="0" t="n">
        <v>4.5</v>
      </c>
    </row>
    <row r="1247" customFormat="false" ht="12.8" hidden="false" customHeight="false" outlineLevel="0" collapsed="false">
      <c r="I1247" s="0" t="n">
        <v>311</v>
      </c>
      <c r="J1247" s="0" t="n">
        <v>346.1</v>
      </c>
      <c r="K1247" s="0" t="n">
        <v>4.5</v>
      </c>
    </row>
    <row r="1248" customFormat="false" ht="12.8" hidden="false" customHeight="false" outlineLevel="0" collapsed="false">
      <c r="I1248" s="0" t="n">
        <v>311.25</v>
      </c>
      <c r="J1248" s="0" t="n">
        <v>347.2</v>
      </c>
      <c r="K1248" s="0" t="n">
        <v>4.5</v>
      </c>
    </row>
    <row r="1249" customFormat="false" ht="12.8" hidden="false" customHeight="false" outlineLevel="0" collapsed="false">
      <c r="I1249" s="0" t="n">
        <v>311.5</v>
      </c>
      <c r="J1249" s="0" t="n">
        <v>348.3</v>
      </c>
      <c r="K1249" s="0" t="n">
        <v>4.5</v>
      </c>
    </row>
    <row r="1250" customFormat="false" ht="12.8" hidden="false" customHeight="false" outlineLevel="0" collapsed="false">
      <c r="I1250" s="0" t="n">
        <v>311.75</v>
      </c>
      <c r="J1250" s="0" t="n">
        <v>349.5</v>
      </c>
      <c r="K1250" s="0" t="n">
        <v>4.5</v>
      </c>
    </row>
    <row r="1251" customFormat="false" ht="12.8" hidden="false" customHeight="false" outlineLevel="0" collapsed="false">
      <c r="I1251" s="0" t="n">
        <v>312</v>
      </c>
      <c r="J1251" s="0" t="n">
        <v>350.2</v>
      </c>
      <c r="K1251" s="0" t="n">
        <v>3.1</v>
      </c>
    </row>
    <row r="1252" customFormat="false" ht="12.8" hidden="false" customHeight="false" outlineLevel="0" collapsed="false">
      <c r="I1252" s="0" t="n">
        <v>312.25</v>
      </c>
      <c r="J1252" s="0" t="n">
        <v>350.7</v>
      </c>
      <c r="K1252" s="0" t="n">
        <v>1.8</v>
      </c>
    </row>
    <row r="1253" customFormat="false" ht="12.8" hidden="false" customHeight="false" outlineLevel="0" collapsed="false">
      <c r="I1253" s="0" t="n">
        <v>312.5</v>
      </c>
      <c r="J1253" s="0" t="n">
        <v>351.1</v>
      </c>
      <c r="K1253" s="0" t="n">
        <v>1.8</v>
      </c>
    </row>
    <row r="1254" customFormat="false" ht="12.8" hidden="false" customHeight="false" outlineLevel="0" collapsed="false">
      <c r="I1254" s="0" t="n">
        <v>312.75</v>
      </c>
      <c r="J1254" s="0" t="n">
        <v>351.6</v>
      </c>
      <c r="K1254" s="0" t="n">
        <v>1.8</v>
      </c>
    </row>
    <row r="1255" customFormat="false" ht="12.8" hidden="false" customHeight="false" outlineLevel="0" collapsed="false">
      <c r="I1255" s="0" t="n">
        <v>313</v>
      </c>
      <c r="J1255" s="0" t="n">
        <v>352</v>
      </c>
      <c r="K1255" s="0" t="n">
        <v>1.8</v>
      </c>
    </row>
    <row r="1256" customFormat="false" ht="12.8" hidden="false" customHeight="false" outlineLevel="0" collapsed="false">
      <c r="I1256" s="0" t="n">
        <v>313.25</v>
      </c>
      <c r="J1256" s="0" t="n">
        <v>352.5</v>
      </c>
      <c r="K1256" s="0" t="n">
        <v>1.8</v>
      </c>
    </row>
    <row r="1257" customFormat="false" ht="12.8" hidden="false" customHeight="false" outlineLevel="0" collapsed="false">
      <c r="I1257" s="0" t="n">
        <v>313.5</v>
      </c>
      <c r="J1257" s="0" t="n">
        <v>353</v>
      </c>
      <c r="K1257" s="0" t="n">
        <v>1.8</v>
      </c>
    </row>
    <row r="1258" customFormat="false" ht="12.8" hidden="false" customHeight="false" outlineLevel="0" collapsed="false">
      <c r="I1258" s="0" t="n">
        <v>313.75</v>
      </c>
      <c r="J1258" s="0" t="n">
        <v>353.4</v>
      </c>
      <c r="K1258" s="0" t="n">
        <v>1.8</v>
      </c>
    </row>
    <row r="1259" customFormat="false" ht="12.8" hidden="false" customHeight="false" outlineLevel="0" collapsed="false">
      <c r="I1259" s="0" t="n">
        <v>314</v>
      </c>
      <c r="J1259" s="0" t="n">
        <v>353.9</v>
      </c>
      <c r="K1259" s="0" t="n">
        <v>1.8</v>
      </c>
    </row>
    <row r="1260" customFormat="false" ht="12.8" hidden="false" customHeight="false" outlineLevel="0" collapsed="false">
      <c r="I1260" s="0" t="n">
        <v>314.25</v>
      </c>
      <c r="J1260" s="0" t="n">
        <v>354.3</v>
      </c>
      <c r="K1260" s="0" t="n">
        <v>1.8</v>
      </c>
    </row>
    <row r="1261" customFormat="false" ht="12.8" hidden="false" customHeight="false" outlineLevel="0" collapsed="false">
      <c r="I1261" s="0" t="n">
        <v>314.5</v>
      </c>
      <c r="J1261" s="0" t="n">
        <v>354.8</v>
      </c>
      <c r="K1261" s="0" t="n">
        <v>1.8</v>
      </c>
    </row>
    <row r="1262" customFormat="false" ht="12.8" hidden="false" customHeight="false" outlineLevel="0" collapsed="false">
      <c r="I1262" s="0" t="n">
        <v>314.75</v>
      </c>
      <c r="J1262" s="0" t="n">
        <v>355.2</v>
      </c>
      <c r="K1262" s="0" t="n">
        <v>1.8</v>
      </c>
    </row>
    <row r="1263" customFormat="false" ht="12.8" hidden="false" customHeight="false" outlineLevel="0" collapsed="false">
      <c r="I1263" s="0" t="n">
        <v>315</v>
      </c>
      <c r="J1263" s="0" t="n">
        <v>355.7</v>
      </c>
      <c r="K1263" s="0" t="n">
        <v>1.8</v>
      </c>
    </row>
    <row r="1264" customFormat="false" ht="12.8" hidden="false" customHeight="false" outlineLevel="0" collapsed="false">
      <c r="I1264" s="0" t="n">
        <v>315.25</v>
      </c>
      <c r="J1264" s="0" t="n">
        <v>356.1</v>
      </c>
      <c r="K1264" s="0" t="n">
        <v>1.8</v>
      </c>
    </row>
    <row r="1265" customFormat="false" ht="12.8" hidden="false" customHeight="false" outlineLevel="0" collapsed="false">
      <c r="I1265" s="0" t="n">
        <v>315.5</v>
      </c>
      <c r="J1265" s="0" t="n">
        <v>356.6</v>
      </c>
      <c r="K1265" s="0" t="n">
        <v>1.8</v>
      </c>
    </row>
    <row r="1266" customFormat="false" ht="12.8" hidden="false" customHeight="false" outlineLevel="0" collapsed="false">
      <c r="I1266" s="0" t="n">
        <v>315.75</v>
      </c>
      <c r="J1266" s="0" t="n">
        <v>357</v>
      </c>
      <c r="K1266" s="0" t="n">
        <v>1.8</v>
      </c>
    </row>
    <row r="1267" customFormat="false" ht="12.8" hidden="false" customHeight="false" outlineLevel="0" collapsed="false">
      <c r="I1267" s="0" t="n">
        <v>316</v>
      </c>
      <c r="J1267" s="0" t="n">
        <v>357.3</v>
      </c>
      <c r="K1267" s="0" t="n">
        <v>1.1</v>
      </c>
    </row>
    <row r="1268" customFormat="false" ht="12.8" hidden="false" customHeight="false" outlineLevel="0" collapsed="false">
      <c r="I1268" s="0" t="n">
        <v>316.25</v>
      </c>
      <c r="J1268" s="0" t="n">
        <v>357.5</v>
      </c>
      <c r="K1268" s="0" t="n">
        <v>0.9</v>
      </c>
    </row>
    <row r="1269" customFormat="false" ht="12.8" hidden="false" customHeight="false" outlineLevel="0" collapsed="false">
      <c r="I1269" s="0" t="n">
        <v>316.5</v>
      </c>
      <c r="J1269" s="0" t="n">
        <v>357.8</v>
      </c>
      <c r="K1269" s="0" t="n">
        <v>0.9</v>
      </c>
    </row>
    <row r="1270" customFormat="false" ht="12.8" hidden="false" customHeight="false" outlineLevel="0" collapsed="false">
      <c r="I1270" s="0" t="n">
        <v>316.75</v>
      </c>
      <c r="J1270" s="0" t="n">
        <v>358</v>
      </c>
      <c r="K1270" s="0" t="n">
        <v>0.9</v>
      </c>
    </row>
    <row r="1271" customFormat="false" ht="12.8" hidden="false" customHeight="false" outlineLevel="0" collapsed="false">
      <c r="I1271" s="0" t="n">
        <v>317</v>
      </c>
      <c r="J1271" s="0" t="n">
        <v>358.2</v>
      </c>
      <c r="K1271" s="0" t="n">
        <v>0.9</v>
      </c>
    </row>
    <row r="1272" customFormat="false" ht="12.8" hidden="false" customHeight="false" outlineLevel="0" collapsed="false">
      <c r="I1272" s="0" t="n">
        <v>317.25</v>
      </c>
      <c r="J1272" s="0" t="n">
        <v>358.4</v>
      </c>
      <c r="K1272" s="0" t="n">
        <v>0.9</v>
      </c>
    </row>
    <row r="1273" customFormat="false" ht="12.8" hidden="false" customHeight="false" outlineLevel="0" collapsed="false">
      <c r="I1273" s="0" t="n">
        <v>317.5</v>
      </c>
      <c r="J1273" s="0" t="n">
        <v>358.6</v>
      </c>
      <c r="K1273" s="0" t="n">
        <v>0.9</v>
      </c>
    </row>
    <row r="1274" customFormat="false" ht="12.8" hidden="false" customHeight="false" outlineLevel="0" collapsed="false">
      <c r="I1274" s="0" t="n">
        <v>317.75</v>
      </c>
      <c r="J1274" s="0" t="n">
        <v>358.9</v>
      </c>
      <c r="K1274" s="0" t="n">
        <v>0.9</v>
      </c>
    </row>
    <row r="1275" customFormat="false" ht="12.8" hidden="false" customHeight="false" outlineLevel="0" collapsed="false">
      <c r="I1275" s="0" t="n">
        <v>318</v>
      </c>
      <c r="J1275" s="0" t="n">
        <v>359.1</v>
      </c>
      <c r="K1275" s="0" t="n">
        <v>0.9</v>
      </c>
    </row>
    <row r="1276" customFormat="false" ht="12.8" hidden="false" customHeight="false" outlineLevel="0" collapsed="false">
      <c r="I1276" s="0" t="n">
        <v>318.25</v>
      </c>
      <c r="J1276" s="0" t="n">
        <v>359.3</v>
      </c>
      <c r="K1276" s="0" t="n">
        <v>0.9</v>
      </c>
    </row>
    <row r="1277" customFormat="false" ht="12.8" hidden="false" customHeight="false" outlineLevel="0" collapsed="false">
      <c r="I1277" s="0" t="n">
        <v>318.5</v>
      </c>
      <c r="J1277" s="0" t="n">
        <v>359.5</v>
      </c>
      <c r="K1277" s="0" t="n">
        <v>0.9</v>
      </c>
    </row>
    <row r="1278" customFormat="false" ht="12.8" hidden="false" customHeight="false" outlineLevel="0" collapsed="false">
      <c r="I1278" s="0" t="n">
        <v>318.75</v>
      </c>
      <c r="J1278" s="0" t="n">
        <v>359.8</v>
      </c>
      <c r="K1278" s="0" t="n">
        <v>0.9</v>
      </c>
    </row>
    <row r="1279" customFormat="false" ht="12.8" hidden="false" customHeight="false" outlineLevel="0" collapsed="false">
      <c r="I1279" s="0" t="n">
        <v>319</v>
      </c>
      <c r="J1279" s="0" t="n">
        <v>360</v>
      </c>
      <c r="K1279" s="0" t="n">
        <v>0.9</v>
      </c>
    </row>
    <row r="1280" customFormat="false" ht="12.8" hidden="false" customHeight="false" outlineLevel="0" collapsed="false">
      <c r="I1280" s="0" t="n">
        <v>319.25</v>
      </c>
      <c r="J1280" s="0" t="n">
        <v>360.2</v>
      </c>
      <c r="K1280" s="0" t="n">
        <v>0.9</v>
      </c>
    </row>
    <row r="1281" customFormat="false" ht="12.8" hidden="false" customHeight="false" outlineLevel="0" collapsed="false">
      <c r="I1281" s="0" t="n">
        <v>319.5</v>
      </c>
      <c r="J1281" s="0" t="n">
        <v>360.4</v>
      </c>
      <c r="K1281" s="0" t="n">
        <v>0.9</v>
      </c>
    </row>
    <row r="1282" customFormat="false" ht="12.8" hidden="false" customHeight="false" outlineLevel="0" collapsed="false">
      <c r="I1282" s="0" t="n">
        <v>319.75</v>
      </c>
      <c r="J1282" s="0" t="n">
        <v>360.7</v>
      </c>
      <c r="K1282" s="0" t="n">
        <v>0.9</v>
      </c>
    </row>
    <row r="1283" customFormat="false" ht="12.8" hidden="false" customHeight="false" outlineLevel="0" collapsed="false">
      <c r="I1283" s="0" t="n">
        <v>320</v>
      </c>
      <c r="J1283" s="0" t="n">
        <v>360.9</v>
      </c>
      <c r="K1283" s="0" t="n">
        <v>0.9</v>
      </c>
    </row>
    <row r="1284" customFormat="false" ht="12.8" hidden="false" customHeight="false" outlineLevel="0" collapsed="false">
      <c r="I1284" s="0" t="n">
        <v>320.25</v>
      </c>
      <c r="J1284" s="0" t="n">
        <v>361.1</v>
      </c>
      <c r="K1284" s="0" t="n">
        <v>0.9</v>
      </c>
    </row>
    <row r="1285" customFormat="false" ht="12.8" hidden="false" customHeight="false" outlineLevel="0" collapsed="false">
      <c r="I1285" s="0" t="n">
        <v>320.5</v>
      </c>
      <c r="J1285" s="0" t="n">
        <v>361.3</v>
      </c>
      <c r="K1285" s="0" t="n">
        <v>0.9</v>
      </c>
    </row>
    <row r="1286" customFormat="false" ht="12.8" hidden="false" customHeight="false" outlineLevel="0" collapsed="false">
      <c r="I1286" s="0" t="n">
        <v>320.75</v>
      </c>
      <c r="J1286" s="0" t="n">
        <v>361.5</v>
      </c>
      <c r="K1286" s="0" t="n">
        <v>0.9</v>
      </c>
    </row>
    <row r="1287" customFormat="false" ht="12.8" hidden="false" customHeight="false" outlineLevel="0" collapsed="false">
      <c r="I1287" s="0" t="n">
        <v>321</v>
      </c>
      <c r="J1287" s="0" t="n">
        <v>361.8</v>
      </c>
      <c r="K1287" s="0" t="n">
        <v>0.9</v>
      </c>
    </row>
    <row r="1288" customFormat="false" ht="12.8" hidden="false" customHeight="false" outlineLevel="0" collapsed="false">
      <c r="I1288" s="0" t="n">
        <v>321.25</v>
      </c>
      <c r="J1288" s="0" t="n">
        <v>362</v>
      </c>
      <c r="K1288" s="0" t="n">
        <v>0.9</v>
      </c>
    </row>
    <row r="1289" customFormat="false" ht="12.8" hidden="false" customHeight="false" outlineLevel="0" collapsed="false">
      <c r="I1289" s="0" t="n">
        <v>321.5</v>
      </c>
      <c r="J1289" s="0" t="n">
        <v>362.2</v>
      </c>
      <c r="K1289" s="0" t="n">
        <v>0.9</v>
      </c>
    </row>
    <row r="1290" customFormat="false" ht="12.8" hidden="false" customHeight="false" outlineLevel="0" collapsed="false">
      <c r="I1290" s="0" t="n">
        <v>321.75</v>
      </c>
      <c r="J1290" s="0" t="n">
        <v>362.4</v>
      </c>
      <c r="K1290" s="0" t="n">
        <v>0.9</v>
      </c>
    </row>
    <row r="1291" customFormat="false" ht="12.8" hidden="false" customHeight="false" outlineLevel="0" collapsed="false">
      <c r="I1291" s="0" t="n">
        <v>322</v>
      </c>
      <c r="J1291" s="0" t="n">
        <v>362.7</v>
      </c>
      <c r="K1291" s="0" t="n">
        <v>0.9</v>
      </c>
    </row>
    <row r="1292" customFormat="false" ht="12.8" hidden="false" customHeight="false" outlineLevel="0" collapsed="false">
      <c r="I1292" s="0" t="n">
        <v>322.25</v>
      </c>
      <c r="J1292" s="0" t="n">
        <v>362.9</v>
      </c>
      <c r="K1292" s="0" t="n">
        <v>0.9</v>
      </c>
    </row>
    <row r="1293" customFormat="false" ht="12.8" hidden="false" customHeight="false" outlineLevel="0" collapsed="false">
      <c r="I1293" s="0" t="n">
        <v>322.5</v>
      </c>
      <c r="J1293" s="0" t="n">
        <v>363.1</v>
      </c>
      <c r="K1293" s="0" t="n">
        <v>0.9</v>
      </c>
    </row>
    <row r="1294" customFormat="false" ht="12.8" hidden="false" customHeight="false" outlineLevel="0" collapsed="false">
      <c r="I1294" s="0" t="n">
        <v>322.75</v>
      </c>
      <c r="J1294" s="0" t="n">
        <v>363.3</v>
      </c>
      <c r="K1294" s="0" t="n">
        <v>0.9</v>
      </c>
    </row>
    <row r="1295" customFormat="false" ht="12.8" hidden="false" customHeight="false" outlineLevel="0" collapsed="false">
      <c r="I1295" s="0" t="n">
        <v>323</v>
      </c>
      <c r="J1295" s="0" t="n">
        <v>363.6</v>
      </c>
      <c r="K1295" s="0" t="n">
        <v>0.9</v>
      </c>
    </row>
    <row r="1296" customFormat="false" ht="12.8" hidden="false" customHeight="false" outlineLevel="0" collapsed="false">
      <c r="I1296" s="0" t="n">
        <v>323.25</v>
      </c>
      <c r="J1296" s="0" t="n">
        <v>363.8</v>
      </c>
      <c r="K1296" s="0" t="n">
        <v>0.9</v>
      </c>
    </row>
    <row r="1297" customFormat="false" ht="12.8" hidden="false" customHeight="false" outlineLevel="0" collapsed="false">
      <c r="I1297" s="0" t="n">
        <v>323.5</v>
      </c>
      <c r="J1297" s="0" t="n">
        <v>364</v>
      </c>
      <c r="K1297" s="0" t="n">
        <v>0.9</v>
      </c>
    </row>
    <row r="1298" customFormat="false" ht="12.8" hidden="false" customHeight="false" outlineLevel="0" collapsed="false">
      <c r="I1298" s="0" t="n">
        <v>323.75</v>
      </c>
      <c r="J1298" s="0" t="n">
        <v>364.2</v>
      </c>
      <c r="K1298" s="0" t="n">
        <v>0.9</v>
      </c>
    </row>
    <row r="1299" customFormat="false" ht="12.8" hidden="false" customHeight="false" outlineLevel="0" collapsed="false">
      <c r="I1299" s="0" t="n">
        <v>324</v>
      </c>
      <c r="J1299" s="0" t="n">
        <v>364.5</v>
      </c>
      <c r="K1299" s="0" t="n">
        <v>1</v>
      </c>
    </row>
    <row r="1300" customFormat="false" ht="12.8" hidden="false" customHeight="false" outlineLevel="0" collapsed="false">
      <c r="I1300" s="0" t="n">
        <v>324.25</v>
      </c>
      <c r="J1300" s="0" t="n">
        <v>364.8</v>
      </c>
      <c r="K1300" s="0" t="n">
        <v>1.1</v>
      </c>
    </row>
    <row r="1301" customFormat="false" ht="12.8" hidden="false" customHeight="false" outlineLevel="0" collapsed="false">
      <c r="I1301" s="0" t="n">
        <v>324.5</v>
      </c>
      <c r="J1301" s="0" t="n">
        <v>365</v>
      </c>
      <c r="K1301" s="0" t="n">
        <v>1.1</v>
      </c>
    </row>
    <row r="1302" customFormat="false" ht="12.8" hidden="false" customHeight="false" outlineLevel="0" collapsed="false">
      <c r="I1302" s="0" t="n">
        <v>324.75</v>
      </c>
      <c r="J1302" s="0" t="n">
        <v>365.3</v>
      </c>
      <c r="K1302" s="0" t="n">
        <v>1.1</v>
      </c>
    </row>
    <row r="1303" customFormat="false" ht="12.8" hidden="false" customHeight="false" outlineLevel="0" collapsed="false">
      <c r="I1303" s="0" t="n">
        <v>325</v>
      </c>
      <c r="J1303" s="0" t="n">
        <v>365.6</v>
      </c>
      <c r="K1303" s="0" t="n">
        <v>1.1</v>
      </c>
    </row>
    <row r="1304" customFormat="false" ht="12.8" hidden="false" customHeight="false" outlineLevel="0" collapsed="false">
      <c r="I1304" s="0" t="n">
        <v>325.25</v>
      </c>
      <c r="J1304" s="0" t="n">
        <v>365.9</v>
      </c>
      <c r="K1304" s="0" t="n">
        <v>1.1</v>
      </c>
    </row>
    <row r="1305" customFormat="false" ht="12.8" hidden="false" customHeight="false" outlineLevel="0" collapsed="false">
      <c r="I1305" s="0" t="n">
        <v>325.5</v>
      </c>
      <c r="J1305" s="0" t="n">
        <v>366.2</v>
      </c>
      <c r="K1305" s="0" t="n">
        <v>1.1</v>
      </c>
    </row>
    <row r="1306" customFormat="false" ht="12.8" hidden="false" customHeight="false" outlineLevel="0" collapsed="false">
      <c r="I1306" s="0" t="n">
        <v>325.75</v>
      </c>
      <c r="J1306" s="0" t="n">
        <v>366.4</v>
      </c>
      <c r="K1306" s="0" t="n">
        <v>1.1</v>
      </c>
    </row>
    <row r="1307" customFormat="false" ht="12.8" hidden="false" customHeight="false" outlineLevel="0" collapsed="false">
      <c r="I1307" s="0" t="n">
        <v>326</v>
      </c>
      <c r="J1307" s="0" t="n">
        <v>366.7</v>
      </c>
      <c r="K1307" s="0" t="n">
        <v>1.1</v>
      </c>
    </row>
    <row r="1308" customFormat="false" ht="12.8" hidden="false" customHeight="false" outlineLevel="0" collapsed="false">
      <c r="I1308" s="0" t="n">
        <v>326.25</v>
      </c>
      <c r="J1308" s="0" t="n">
        <v>367</v>
      </c>
      <c r="K1308" s="0" t="n">
        <v>1.1</v>
      </c>
    </row>
    <row r="1309" customFormat="false" ht="12.8" hidden="false" customHeight="false" outlineLevel="0" collapsed="false">
      <c r="I1309" s="0" t="n">
        <v>326.5</v>
      </c>
      <c r="J1309" s="0" t="n">
        <v>367.3</v>
      </c>
      <c r="K1309" s="0" t="n">
        <v>1.1</v>
      </c>
    </row>
    <row r="1310" customFormat="false" ht="12.8" hidden="false" customHeight="false" outlineLevel="0" collapsed="false">
      <c r="I1310" s="0" t="n">
        <v>326.75</v>
      </c>
      <c r="J1310" s="0" t="n">
        <v>367.6</v>
      </c>
      <c r="K1310" s="0" t="n">
        <v>1.1</v>
      </c>
    </row>
    <row r="1311" customFormat="false" ht="12.8" hidden="false" customHeight="false" outlineLevel="0" collapsed="false">
      <c r="I1311" s="0" t="n">
        <v>327</v>
      </c>
      <c r="J1311" s="0" t="n">
        <v>367.9</v>
      </c>
      <c r="K1311" s="0" t="n">
        <v>1.1</v>
      </c>
    </row>
    <row r="1312" customFormat="false" ht="12.8" hidden="false" customHeight="false" outlineLevel="0" collapsed="false">
      <c r="I1312" s="0" t="n">
        <v>327.25</v>
      </c>
      <c r="J1312" s="0" t="n">
        <v>368.1</v>
      </c>
      <c r="K1312" s="0" t="n">
        <v>1.1</v>
      </c>
    </row>
    <row r="1313" customFormat="false" ht="12.8" hidden="false" customHeight="false" outlineLevel="0" collapsed="false">
      <c r="I1313" s="0" t="n">
        <v>327.5</v>
      </c>
      <c r="J1313" s="0" t="n">
        <v>368.4</v>
      </c>
      <c r="K1313" s="0" t="n">
        <v>1.1</v>
      </c>
    </row>
    <row r="1314" customFormat="false" ht="12.8" hidden="false" customHeight="false" outlineLevel="0" collapsed="false">
      <c r="I1314" s="0" t="n">
        <v>327.75</v>
      </c>
      <c r="J1314" s="0" t="n">
        <v>368.7</v>
      </c>
      <c r="K1314" s="0" t="n">
        <v>1.1</v>
      </c>
    </row>
    <row r="1315" customFormat="false" ht="12.8" hidden="false" customHeight="false" outlineLevel="0" collapsed="false">
      <c r="I1315" s="0" t="n">
        <v>328</v>
      </c>
      <c r="J1315" s="0" t="n">
        <v>369</v>
      </c>
      <c r="K1315" s="0" t="n">
        <v>1.1</v>
      </c>
    </row>
    <row r="1316" customFormat="false" ht="12.8" hidden="false" customHeight="false" outlineLevel="0" collapsed="false">
      <c r="I1316" s="0" t="n">
        <v>328.25</v>
      </c>
      <c r="J1316" s="0" t="n">
        <v>369.3</v>
      </c>
      <c r="K1316" s="0" t="n">
        <v>1.1</v>
      </c>
    </row>
    <row r="1317" customFormat="false" ht="12.8" hidden="false" customHeight="false" outlineLevel="0" collapsed="false">
      <c r="I1317" s="0" t="n">
        <v>328.5</v>
      </c>
      <c r="J1317" s="0" t="n">
        <v>369.5</v>
      </c>
      <c r="K1317" s="0" t="n">
        <v>1.1</v>
      </c>
    </row>
    <row r="1318" customFormat="false" ht="12.8" hidden="false" customHeight="false" outlineLevel="0" collapsed="false">
      <c r="I1318" s="0" t="n">
        <v>328.75</v>
      </c>
      <c r="J1318" s="0" t="n">
        <v>369.8</v>
      </c>
      <c r="K1318" s="0" t="n">
        <v>1.1</v>
      </c>
    </row>
    <row r="1319" customFormat="false" ht="12.8" hidden="false" customHeight="false" outlineLevel="0" collapsed="false">
      <c r="I1319" s="0" t="n">
        <v>329</v>
      </c>
      <c r="J1319" s="0" t="n">
        <v>370.1</v>
      </c>
      <c r="K1319" s="0" t="n">
        <v>1.1</v>
      </c>
    </row>
    <row r="1320" customFormat="false" ht="12.8" hidden="false" customHeight="false" outlineLevel="0" collapsed="false">
      <c r="I1320" s="0" t="n">
        <v>329.25</v>
      </c>
      <c r="J1320" s="0" t="n">
        <v>370.4</v>
      </c>
      <c r="K1320" s="0" t="n">
        <v>1.1</v>
      </c>
    </row>
    <row r="1321" customFormat="false" ht="12.8" hidden="false" customHeight="false" outlineLevel="0" collapsed="false">
      <c r="I1321" s="0" t="n">
        <v>329.5</v>
      </c>
      <c r="J1321" s="0" t="n">
        <v>370.7</v>
      </c>
      <c r="K1321" s="0" t="n">
        <v>1.1</v>
      </c>
    </row>
    <row r="1322" customFormat="false" ht="12.8" hidden="false" customHeight="false" outlineLevel="0" collapsed="false">
      <c r="I1322" s="0" t="n">
        <v>329.75</v>
      </c>
      <c r="J1322" s="0" t="n">
        <v>370.9</v>
      </c>
      <c r="K1322" s="0" t="n">
        <v>1.1</v>
      </c>
    </row>
    <row r="1323" customFormat="false" ht="12.8" hidden="false" customHeight="false" outlineLevel="0" collapsed="false">
      <c r="I1323" s="0" t="n">
        <v>330</v>
      </c>
      <c r="J1323" s="0" t="n">
        <v>371.2</v>
      </c>
      <c r="K1323" s="0" t="n">
        <v>1.1</v>
      </c>
    </row>
    <row r="1324" customFormat="false" ht="12.8" hidden="false" customHeight="false" outlineLevel="0" collapsed="false">
      <c r="I1324" s="0" t="n">
        <v>330.25</v>
      </c>
      <c r="J1324" s="0" t="n">
        <v>371.5</v>
      </c>
      <c r="K1324" s="0" t="n">
        <v>1.1</v>
      </c>
    </row>
    <row r="1325" customFormat="false" ht="12.8" hidden="false" customHeight="false" outlineLevel="0" collapsed="false">
      <c r="I1325" s="0" t="n">
        <v>330.5</v>
      </c>
      <c r="J1325" s="0" t="n">
        <v>372.1</v>
      </c>
      <c r="K1325" s="0" t="n">
        <v>2.3</v>
      </c>
    </row>
    <row r="1326" customFormat="false" ht="12.8" hidden="false" customHeight="false" outlineLevel="0" collapsed="false">
      <c r="I1326" s="0" t="n">
        <v>330.75</v>
      </c>
      <c r="J1326" s="0" t="n">
        <v>372.7</v>
      </c>
      <c r="K1326" s="0" t="n">
        <v>2.3</v>
      </c>
    </row>
    <row r="1327" customFormat="false" ht="12.8" hidden="false" customHeight="false" outlineLevel="0" collapsed="false">
      <c r="I1327" s="0" t="n">
        <v>331</v>
      </c>
      <c r="J1327" s="0" t="n">
        <v>373.2</v>
      </c>
      <c r="K1327" s="0" t="n">
        <v>2.3</v>
      </c>
    </row>
    <row r="1328" customFormat="false" ht="12.8" hidden="false" customHeight="false" outlineLevel="0" collapsed="false">
      <c r="I1328" s="0" t="n">
        <v>331.25</v>
      </c>
      <c r="J1328" s="0" t="n">
        <v>373.8</v>
      </c>
      <c r="K1328" s="0" t="n">
        <v>2.3</v>
      </c>
    </row>
    <row r="1329" customFormat="false" ht="12.8" hidden="false" customHeight="false" outlineLevel="0" collapsed="false">
      <c r="I1329" s="0" t="n">
        <v>331.5</v>
      </c>
      <c r="J1329" s="0" t="n">
        <v>374.4</v>
      </c>
      <c r="K1329" s="0" t="n">
        <v>2.3</v>
      </c>
    </row>
    <row r="1330" customFormat="false" ht="12.8" hidden="false" customHeight="false" outlineLevel="0" collapsed="false">
      <c r="I1330" s="0" t="n">
        <v>331.75</v>
      </c>
      <c r="J1330" s="0" t="n">
        <v>374.9</v>
      </c>
      <c r="K1330" s="0" t="n">
        <v>2.3</v>
      </c>
    </row>
    <row r="1331" customFormat="false" ht="12.8" hidden="false" customHeight="false" outlineLevel="0" collapsed="false">
      <c r="I1331" s="0" t="n">
        <v>332</v>
      </c>
      <c r="J1331" s="0" t="n">
        <v>375.5</v>
      </c>
      <c r="K1331" s="0" t="n">
        <v>2.3</v>
      </c>
    </row>
    <row r="1332" customFormat="false" ht="12.8" hidden="false" customHeight="false" outlineLevel="0" collapsed="false">
      <c r="I1332" s="0" t="n">
        <v>332.25</v>
      </c>
      <c r="J1332" s="0" t="n">
        <v>376.1</v>
      </c>
      <c r="K1332" s="0" t="n">
        <v>2.3</v>
      </c>
    </row>
    <row r="1333" customFormat="false" ht="12.8" hidden="false" customHeight="false" outlineLevel="0" collapsed="false">
      <c r="I1333" s="0" t="n">
        <v>332.5</v>
      </c>
      <c r="J1333" s="0" t="n">
        <v>376.7</v>
      </c>
      <c r="K1333" s="0" t="n">
        <v>2.3</v>
      </c>
    </row>
    <row r="1334" customFormat="false" ht="12.8" hidden="false" customHeight="false" outlineLevel="0" collapsed="false">
      <c r="I1334" s="0" t="n">
        <v>332.75</v>
      </c>
      <c r="J1334" s="0" t="n">
        <v>377.2</v>
      </c>
      <c r="K1334" s="0" t="n">
        <v>2.3</v>
      </c>
    </row>
    <row r="1335" customFormat="false" ht="12.8" hidden="false" customHeight="false" outlineLevel="0" collapsed="false">
      <c r="I1335" s="0" t="n">
        <v>333</v>
      </c>
      <c r="J1335" s="0" t="n">
        <v>377.8</v>
      </c>
      <c r="K1335" s="0" t="n">
        <v>2.3</v>
      </c>
    </row>
    <row r="1336" customFormat="false" ht="12.8" hidden="false" customHeight="false" outlineLevel="0" collapsed="false">
      <c r="I1336" s="0" t="n">
        <v>333.25</v>
      </c>
      <c r="J1336" s="0" t="n">
        <v>378.4</v>
      </c>
      <c r="K1336" s="0" t="n">
        <v>2.3</v>
      </c>
    </row>
    <row r="1337" customFormat="false" ht="12.8" hidden="false" customHeight="false" outlineLevel="0" collapsed="false">
      <c r="I1337" s="0" t="n">
        <v>333.5</v>
      </c>
      <c r="J1337" s="0" t="n">
        <v>386.4</v>
      </c>
      <c r="K1337" s="0" t="n">
        <v>32</v>
      </c>
    </row>
    <row r="1338" customFormat="false" ht="12.8" hidden="false" customHeight="false" outlineLevel="0" collapsed="false">
      <c r="I1338" s="0" t="n">
        <v>333.75</v>
      </c>
      <c r="J1338" s="0" t="n">
        <v>388.1</v>
      </c>
      <c r="K1338" s="0" t="n">
        <v>6.9</v>
      </c>
    </row>
    <row r="1339" customFormat="false" ht="12.8" hidden="false" customHeight="false" outlineLevel="0" collapsed="false">
      <c r="I1339" s="0" t="n">
        <v>334</v>
      </c>
      <c r="J1339" s="0" t="n">
        <v>389.8</v>
      </c>
      <c r="K1339" s="0" t="n">
        <v>6.9</v>
      </c>
    </row>
    <row r="1340" customFormat="false" ht="12.8" hidden="false" customHeight="false" outlineLevel="0" collapsed="false">
      <c r="I1340" s="0" t="n">
        <v>334.25</v>
      </c>
      <c r="J1340" s="0" t="n">
        <v>391.6</v>
      </c>
      <c r="K1340" s="0" t="n">
        <v>6.9</v>
      </c>
    </row>
    <row r="1341" customFormat="false" ht="12.8" hidden="false" customHeight="false" outlineLevel="0" collapsed="false">
      <c r="I1341" s="0" t="n">
        <v>334.5</v>
      </c>
      <c r="J1341" s="0" t="n">
        <v>393.1</v>
      </c>
      <c r="K1341" s="0" t="n">
        <v>6.3</v>
      </c>
    </row>
    <row r="1342" customFormat="false" ht="12.8" hidden="false" customHeight="false" outlineLevel="0" collapsed="false">
      <c r="I1342" s="0" t="n">
        <v>334.75</v>
      </c>
      <c r="J1342" s="0" t="n">
        <v>393.2</v>
      </c>
      <c r="K1342" s="0" t="n">
        <v>0.4</v>
      </c>
    </row>
    <row r="1343" customFormat="false" ht="12.8" hidden="false" customHeight="false" outlineLevel="0" collapsed="false">
      <c r="I1343" s="0" t="n">
        <v>335</v>
      </c>
      <c r="J1343" s="0" t="n">
        <v>393.3</v>
      </c>
      <c r="K1343" s="0" t="n">
        <v>0.4</v>
      </c>
    </row>
    <row r="1344" customFormat="false" ht="12.8" hidden="false" customHeight="false" outlineLevel="0" collapsed="false">
      <c r="I1344" s="0" t="n">
        <v>335.25</v>
      </c>
      <c r="J1344" s="0" t="n">
        <v>393.4</v>
      </c>
      <c r="K1344" s="0" t="n">
        <v>0.4</v>
      </c>
    </row>
    <row r="1345" customFormat="false" ht="12.8" hidden="false" customHeight="false" outlineLevel="0" collapsed="false">
      <c r="I1345" s="0" t="n">
        <v>335.5</v>
      </c>
      <c r="J1345" s="0" t="n">
        <v>393.5</v>
      </c>
      <c r="K1345" s="0" t="n">
        <v>0.4</v>
      </c>
    </row>
    <row r="1346" customFormat="false" ht="12.8" hidden="false" customHeight="false" outlineLevel="0" collapsed="false">
      <c r="I1346" s="0" t="n">
        <v>335.75</v>
      </c>
      <c r="J1346" s="0" t="n">
        <v>393.6</v>
      </c>
      <c r="K1346" s="0" t="n">
        <v>0.4</v>
      </c>
    </row>
    <row r="1347" customFormat="false" ht="12.8" hidden="false" customHeight="false" outlineLevel="0" collapsed="false">
      <c r="I1347" s="0" t="n">
        <v>336</v>
      </c>
      <c r="J1347" s="0" t="n">
        <v>393.7</v>
      </c>
      <c r="K1347" s="0" t="n">
        <v>0.4</v>
      </c>
    </row>
    <row r="1348" customFormat="false" ht="12.8" hidden="false" customHeight="false" outlineLevel="0" collapsed="false">
      <c r="I1348" s="0" t="n">
        <v>336.25</v>
      </c>
      <c r="J1348" s="0" t="n">
        <v>393.8</v>
      </c>
      <c r="K1348" s="0" t="n">
        <v>0.4</v>
      </c>
    </row>
    <row r="1349" customFormat="false" ht="12.8" hidden="false" customHeight="false" outlineLevel="0" collapsed="false">
      <c r="I1349" s="0" t="n">
        <v>336.5</v>
      </c>
      <c r="J1349" s="0" t="n">
        <v>393.9</v>
      </c>
      <c r="K1349" s="0" t="n">
        <v>0.4</v>
      </c>
    </row>
    <row r="1350" customFormat="false" ht="12.8" hidden="false" customHeight="false" outlineLevel="0" collapsed="false">
      <c r="I1350" s="0" t="n">
        <v>336.75</v>
      </c>
      <c r="J1350" s="0" t="n">
        <v>394</v>
      </c>
      <c r="K1350" s="0" t="n">
        <v>0.4</v>
      </c>
    </row>
    <row r="1351" customFormat="false" ht="12.8" hidden="false" customHeight="false" outlineLevel="0" collapsed="false">
      <c r="I1351" s="0" t="n">
        <v>337</v>
      </c>
      <c r="J1351" s="0" t="n">
        <v>394</v>
      </c>
      <c r="K1351" s="0" t="n">
        <v>0.4</v>
      </c>
    </row>
    <row r="1352" customFormat="false" ht="12.8" hidden="false" customHeight="false" outlineLevel="0" collapsed="false">
      <c r="I1352" s="0" t="n">
        <v>337.25</v>
      </c>
      <c r="J1352" s="0" t="n">
        <v>394.1</v>
      </c>
      <c r="K1352" s="0" t="n">
        <v>0.4</v>
      </c>
    </row>
    <row r="1353" customFormat="false" ht="12.8" hidden="false" customHeight="false" outlineLevel="0" collapsed="false">
      <c r="I1353" s="0" t="n">
        <v>337.5</v>
      </c>
      <c r="J1353" s="0" t="n">
        <v>394.2</v>
      </c>
      <c r="K1353" s="0" t="n">
        <v>0.4</v>
      </c>
    </row>
    <row r="1354" customFormat="false" ht="12.8" hidden="false" customHeight="false" outlineLevel="0" collapsed="false">
      <c r="I1354" s="0" t="n">
        <v>337.75</v>
      </c>
      <c r="J1354" s="0" t="n">
        <v>394.3</v>
      </c>
      <c r="K1354" s="0" t="n">
        <v>0.4</v>
      </c>
    </row>
    <row r="1355" customFormat="false" ht="12.8" hidden="false" customHeight="false" outlineLevel="0" collapsed="false">
      <c r="I1355" s="0" t="n">
        <v>338</v>
      </c>
      <c r="J1355" s="0" t="n">
        <v>394.4</v>
      </c>
      <c r="K1355" s="0" t="n">
        <v>0.4</v>
      </c>
    </row>
    <row r="1356" customFormat="false" ht="12.8" hidden="false" customHeight="false" outlineLevel="0" collapsed="false">
      <c r="I1356" s="0" t="n">
        <v>338.25</v>
      </c>
      <c r="J1356" s="0" t="n">
        <v>394.5</v>
      </c>
      <c r="K1356" s="0" t="n">
        <v>0.4</v>
      </c>
    </row>
    <row r="1357" customFormat="false" ht="12.8" hidden="false" customHeight="false" outlineLevel="0" collapsed="false">
      <c r="I1357" s="0" t="n">
        <v>338.5</v>
      </c>
      <c r="J1357" s="0" t="n">
        <v>394.6</v>
      </c>
      <c r="K1357" s="0" t="n">
        <v>0.4</v>
      </c>
    </row>
    <row r="1358" customFormat="false" ht="12.8" hidden="false" customHeight="false" outlineLevel="0" collapsed="false">
      <c r="I1358" s="0" t="n">
        <v>338.75</v>
      </c>
      <c r="J1358" s="0" t="n">
        <v>394.7</v>
      </c>
      <c r="K1358" s="0" t="n">
        <v>0.4</v>
      </c>
    </row>
    <row r="1359" customFormat="false" ht="12.8" hidden="false" customHeight="false" outlineLevel="0" collapsed="false">
      <c r="I1359" s="0" t="n">
        <v>339</v>
      </c>
      <c r="J1359" s="0" t="n">
        <v>394.8</v>
      </c>
      <c r="K1359" s="0" t="n">
        <v>0.4</v>
      </c>
    </row>
    <row r="1360" customFormat="false" ht="12.8" hidden="false" customHeight="false" outlineLevel="0" collapsed="false">
      <c r="I1360" s="0" t="n">
        <v>339.25</v>
      </c>
      <c r="J1360" s="0" t="n">
        <v>394.9</v>
      </c>
      <c r="K1360" s="0" t="n">
        <v>0.4</v>
      </c>
    </row>
    <row r="1361" customFormat="false" ht="12.8" hidden="false" customHeight="false" outlineLevel="0" collapsed="false">
      <c r="I1361" s="0" t="n">
        <v>339.5</v>
      </c>
      <c r="J1361" s="0" t="n">
        <v>395</v>
      </c>
      <c r="K1361" s="0" t="n">
        <v>0.4</v>
      </c>
    </row>
    <row r="1362" customFormat="false" ht="12.8" hidden="false" customHeight="false" outlineLevel="0" collapsed="false">
      <c r="I1362" s="0" t="n">
        <v>339.75</v>
      </c>
      <c r="J1362" s="0" t="n">
        <v>395.1</v>
      </c>
      <c r="K1362" s="0" t="n">
        <v>0.4</v>
      </c>
    </row>
    <row r="1363" customFormat="false" ht="12.8" hidden="false" customHeight="false" outlineLevel="0" collapsed="false">
      <c r="I1363" s="0" t="n">
        <v>340</v>
      </c>
      <c r="J1363" s="0" t="n">
        <v>395.2</v>
      </c>
      <c r="K1363" s="0" t="n">
        <v>0.4</v>
      </c>
    </row>
    <row r="1364" customFormat="false" ht="12.8" hidden="false" customHeight="false" outlineLevel="0" collapsed="false">
      <c r="I1364" s="0" t="n">
        <v>340.25</v>
      </c>
      <c r="J1364" s="0" t="n">
        <v>395.3</v>
      </c>
      <c r="K1364" s="0" t="n">
        <v>0.4</v>
      </c>
    </row>
    <row r="1365" customFormat="false" ht="12.8" hidden="false" customHeight="false" outlineLevel="0" collapsed="false">
      <c r="I1365" s="0" t="n">
        <v>340.5</v>
      </c>
      <c r="J1365" s="0" t="n">
        <v>395.4</v>
      </c>
      <c r="K1365" s="0" t="n">
        <v>0.4</v>
      </c>
    </row>
    <row r="1366" customFormat="false" ht="12.8" hidden="false" customHeight="false" outlineLevel="0" collapsed="false">
      <c r="I1366" s="0" t="n">
        <v>340.75</v>
      </c>
      <c r="J1366" s="0" t="n">
        <v>395.4</v>
      </c>
      <c r="K1366" s="0" t="n">
        <v>0.4</v>
      </c>
    </row>
    <row r="1367" customFormat="false" ht="12.8" hidden="false" customHeight="false" outlineLevel="0" collapsed="false">
      <c r="I1367" s="0" t="n">
        <v>341</v>
      </c>
      <c r="J1367" s="0" t="n">
        <v>395.5</v>
      </c>
      <c r="K1367" s="0" t="n">
        <v>0.4</v>
      </c>
    </row>
    <row r="1368" customFormat="false" ht="12.8" hidden="false" customHeight="false" outlineLevel="0" collapsed="false">
      <c r="I1368" s="0" t="n">
        <v>341.25</v>
      </c>
      <c r="J1368" s="0" t="n">
        <v>395.6</v>
      </c>
      <c r="K1368" s="0" t="n">
        <v>0.4</v>
      </c>
    </row>
    <row r="1369" customFormat="false" ht="12.8" hidden="false" customHeight="false" outlineLevel="0" collapsed="false">
      <c r="I1369" s="0" t="n">
        <v>341.5</v>
      </c>
      <c r="J1369" s="0" t="n">
        <v>395.7</v>
      </c>
      <c r="K1369" s="0" t="n">
        <v>0.4</v>
      </c>
    </row>
    <row r="1370" customFormat="false" ht="12.8" hidden="false" customHeight="false" outlineLevel="0" collapsed="false">
      <c r="I1370" s="0" t="n">
        <v>341.75</v>
      </c>
      <c r="J1370" s="0" t="n">
        <v>395.8</v>
      </c>
      <c r="K1370" s="0" t="n">
        <v>0.4</v>
      </c>
    </row>
    <row r="1371" customFormat="false" ht="12.8" hidden="false" customHeight="false" outlineLevel="0" collapsed="false">
      <c r="I1371" s="0" t="n">
        <v>342</v>
      </c>
      <c r="J1371" s="0" t="n">
        <v>395.9</v>
      </c>
      <c r="K1371" s="0" t="n">
        <v>0.4</v>
      </c>
    </row>
    <row r="1372" customFormat="false" ht="12.8" hidden="false" customHeight="false" outlineLevel="0" collapsed="false">
      <c r="I1372" s="0" t="n">
        <v>342.25</v>
      </c>
      <c r="J1372" s="0" t="n">
        <v>396</v>
      </c>
      <c r="K1372" s="0" t="n">
        <v>0.4</v>
      </c>
    </row>
    <row r="1373" customFormat="false" ht="12.8" hidden="false" customHeight="false" outlineLevel="0" collapsed="false">
      <c r="I1373" s="0" t="n">
        <v>342.5</v>
      </c>
      <c r="J1373" s="0" t="n">
        <v>396.1</v>
      </c>
      <c r="K1373" s="0" t="n">
        <v>0.4</v>
      </c>
    </row>
    <row r="1374" customFormat="false" ht="12.8" hidden="false" customHeight="false" outlineLevel="0" collapsed="false">
      <c r="I1374" s="0" t="n">
        <v>342.75</v>
      </c>
      <c r="J1374" s="0" t="n">
        <v>396.2</v>
      </c>
      <c r="K1374" s="0" t="n">
        <v>0.4</v>
      </c>
    </row>
    <row r="1375" customFormat="false" ht="12.8" hidden="false" customHeight="false" outlineLevel="0" collapsed="false">
      <c r="I1375" s="0" t="n">
        <v>343</v>
      </c>
      <c r="J1375" s="0" t="n">
        <v>396.3</v>
      </c>
      <c r="K1375" s="0" t="n">
        <v>0.4</v>
      </c>
    </row>
    <row r="1376" customFormat="false" ht="12.8" hidden="false" customHeight="false" outlineLevel="0" collapsed="false">
      <c r="I1376" s="0" t="n">
        <v>343.25</v>
      </c>
      <c r="J1376" s="0" t="n">
        <v>396.4</v>
      </c>
      <c r="K1376" s="0" t="n">
        <v>0.4</v>
      </c>
    </row>
    <row r="1377" customFormat="false" ht="12.8" hidden="false" customHeight="false" outlineLevel="0" collapsed="false">
      <c r="I1377" s="0" t="n">
        <v>343.5</v>
      </c>
      <c r="J1377" s="0" t="n">
        <v>396.5</v>
      </c>
      <c r="K1377" s="0" t="n">
        <v>0.4</v>
      </c>
    </row>
    <row r="1378" customFormat="false" ht="12.8" hidden="false" customHeight="false" outlineLevel="0" collapsed="false">
      <c r="I1378" s="0" t="n">
        <v>343.75</v>
      </c>
      <c r="J1378" s="0" t="n">
        <v>396.6</v>
      </c>
      <c r="K1378" s="0" t="n">
        <v>0.4</v>
      </c>
    </row>
    <row r="1379" customFormat="false" ht="12.8" hidden="false" customHeight="false" outlineLevel="0" collapsed="false">
      <c r="I1379" s="0" t="n">
        <v>344</v>
      </c>
      <c r="J1379" s="0" t="n">
        <v>396.7</v>
      </c>
      <c r="K1379" s="0" t="n">
        <v>0.4</v>
      </c>
    </row>
    <row r="1380" customFormat="false" ht="12.8" hidden="false" customHeight="false" outlineLevel="0" collapsed="false">
      <c r="I1380" s="0" t="n">
        <v>344.25</v>
      </c>
      <c r="J1380" s="0" t="n">
        <v>396.7</v>
      </c>
      <c r="K1380" s="0" t="n">
        <v>0.4</v>
      </c>
    </row>
    <row r="1381" customFormat="false" ht="12.8" hidden="false" customHeight="false" outlineLevel="0" collapsed="false">
      <c r="I1381" s="0" t="n">
        <v>344.5</v>
      </c>
      <c r="J1381" s="0" t="n">
        <v>396.8</v>
      </c>
      <c r="K1381" s="0" t="n">
        <v>0.4</v>
      </c>
    </row>
    <row r="1382" customFormat="false" ht="12.8" hidden="false" customHeight="false" outlineLevel="0" collapsed="false">
      <c r="I1382" s="0" t="n">
        <v>344.75</v>
      </c>
      <c r="J1382" s="0" t="n">
        <v>396.9</v>
      </c>
      <c r="K1382" s="0" t="n">
        <v>0.4</v>
      </c>
    </row>
    <row r="1383" customFormat="false" ht="12.8" hidden="false" customHeight="false" outlineLevel="0" collapsed="false">
      <c r="I1383" s="0" t="n">
        <v>345</v>
      </c>
      <c r="J1383" s="0" t="n">
        <v>397</v>
      </c>
      <c r="K1383" s="0" t="n">
        <v>0.4</v>
      </c>
    </row>
    <row r="1384" customFormat="false" ht="12.8" hidden="false" customHeight="false" outlineLevel="0" collapsed="false">
      <c r="I1384" s="0" t="n">
        <v>345.25</v>
      </c>
      <c r="J1384" s="0" t="n">
        <v>397.1</v>
      </c>
      <c r="K1384" s="0" t="n">
        <v>0.4</v>
      </c>
    </row>
    <row r="1385" customFormat="false" ht="12.8" hidden="false" customHeight="false" outlineLevel="0" collapsed="false">
      <c r="I1385" s="0" t="n">
        <v>345.5</v>
      </c>
      <c r="J1385" s="0" t="n">
        <v>397.2</v>
      </c>
      <c r="K1385" s="0" t="n">
        <v>0.4</v>
      </c>
    </row>
    <row r="1386" customFormat="false" ht="12.8" hidden="false" customHeight="false" outlineLevel="0" collapsed="false">
      <c r="I1386" s="0" t="n">
        <v>345.75</v>
      </c>
      <c r="J1386" s="0" t="n">
        <v>397.3</v>
      </c>
      <c r="K1386" s="0" t="n">
        <v>0.4</v>
      </c>
    </row>
    <row r="1387" customFormat="false" ht="12.8" hidden="false" customHeight="false" outlineLevel="0" collapsed="false">
      <c r="I1387" s="0" t="n">
        <v>346</v>
      </c>
      <c r="J1387" s="0" t="n">
        <v>397.4</v>
      </c>
      <c r="K1387" s="0" t="n">
        <v>0.4</v>
      </c>
    </row>
    <row r="1388" customFormat="false" ht="12.8" hidden="false" customHeight="false" outlineLevel="0" collapsed="false">
      <c r="I1388" s="0" t="n">
        <v>346.25</v>
      </c>
      <c r="J1388" s="0" t="n">
        <v>397.5</v>
      </c>
      <c r="K1388" s="0" t="n">
        <v>0.4</v>
      </c>
    </row>
    <row r="1389" customFormat="false" ht="12.8" hidden="false" customHeight="false" outlineLevel="0" collapsed="false">
      <c r="I1389" s="0" t="n">
        <v>346.5</v>
      </c>
      <c r="J1389" s="0" t="n">
        <v>397.6</v>
      </c>
      <c r="K1389" s="0" t="n">
        <v>0.4</v>
      </c>
    </row>
    <row r="1390" customFormat="false" ht="12.8" hidden="false" customHeight="false" outlineLevel="0" collapsed="false">
      <c r="I1390" s="0" t="n">
        <v>346.75</v>
      </c>
      <c r="J1390" s="0" t="n">
        <v>397.7</v>
      </c>
      <c r="K1390" s="0" t="n">
        <v>0.4</v>
      </c>
    </row>
    <row r="1391" customFormat="false" ht="12.8" hidden="false" customHeight="false" outlineLevel="0" collapsed="false">
      <c r="I1391" s="0" t="n">
        <v>347</v>
      </c>
      <c r="J1391" s="0" t="n">
        <v>397.8</v>
      </c>
      <c r="K1391" s="0" t="n">
        <v>0.4</v>
      </c>
    </row>
    <row r="1392" customFormat="false" ht="12.8" hidden="false" customHeight="false" outlineLevel="0" collapsed="false">
      <c r="I1392" s="0" t="n">
        <v>347.25</v>
      </c>
      <c r="J1392" s="0" t="n">
        <v>397.9</v>
      </c>
      <c r="K1392" s="0" t="n">
        <v>0.4</v>
      </c>
    </row>
    <row r="1393" customFormat="false" ht="12.8" hidden="false" customHeight="false" outlineLevel="0" collapsed="false">
      <c r="I1393" s="0" t="n">
        <v>347.5</v>
      </c>
      <c r="J1393" s="0" t="n">
        <v>398</v>
      </c>
      <c r="K1393" s="0" t="n">
        <v>0.4</v>
      </c>
    </row>
    <row r="1394" customFormat="false" ht="12.8" hidden="false" customHeight="false" outlineLevel="0" collapsed="false">
      <c r="I1394" s="0" t="n">
        <v>347.75</v>
      </c>
      <c r="J1394" s="0" t="n">
        <v>398</v>
      </c>
      <c r="K1394" s="0" t="n">
        <v>0.4</v>
      </c>
    </row>
    <row r="1395" customFormat="false" ht="12.8" hidden="false" customHeight="false" outlineLevel="0" collapsed="false">
      <c r="I1395" s="0" t="n">
        <v>348</v>
      </c>
      <c r="J1395" s="0" t="n">
        <v>398.1</v>
      </c>
      <c r="K1395" s="0" t="n">
        <v>0.4</v>
      </c>
    </row>
    <row r="1396" customFormat="false" ht="12.8" hidden="false" customHeight="false" outlineLevel="0" collapsed="false">
      <c r="I1396" s="0" t="n">
        <v>348.25</v>
      </c>
      <c r="J1396" s="0" t="n">
        <v>398.2</v>
      </c>
      <c r="K1396" s="0" t="n">
        <v>0.4</v>
      </c>
    </row>
    <row r="1397" customFormat="false" ht="12.8" hidden="false" customHeight="false" outlineLevel="0" collapsed="false">
      <c r="I1397" s="0" t="n">
        <v>348.5</v>
      </c>
      <c r="J1397" s="0" t="n">
        <v>398.3</v>
      </c>
      <c r="K1397" s="0" t="n">
        <v>0.4</v>
      </c>
    </row>
    <row r="1398" customFormat="false" ht="12.8" hidden="false" customHeight="false" outlineLevel="0" collapsed="false">
      <c r="I1398" s="0" t="n">
        <v>348.75</v>
      </c>
      <c r="J1398" s="0" t="n">
        <v>398.4</v>
      </c>
      <c r="K1398" s="0" t="n">
        <v>0.4</v>
      </c>
    </row>
    <row r="1399" customFormat="false" ht="12.8" hidden="false" customHeight="false" outlineLevel="0" collapsed="false">
      <c r="I1399" s="0" t="n">
        <v>349</v>
      </c>
      <c r="J1399" s="0" t="n">
        <v>398.5</v>
      </c>
      <c r="K1399" s="0" t="n">
        <v>0.4</v>
      </c>
    </row>
    <row r="1400" customFormat="false" ht="12.8" hidden="false" customHeight="false" outlineLevel="0" collapsed="false">
      <c r="I1400" s="0" t="n">
        <v>349.25</v>
      </c>
      <c r="J1400" s="0" t="n">
        <v>398.6</v>
      </c>
      <c r="K1400" s="0" t="n">
        <v>0.4</v>
      </c>
    </row>
    <row r="1401" customFormat="false" ht="12.8" hidden="false" customHeight="false" outlineLevel="0" collapsed="false">
      <c r="I1401" s="0" t="n">
        <v>349.5</v>
      </c>
      <c r="J1401" s="0" t="n">
        <v>398.7</v>
      </c>
      <c r="K1401" s="0" t="n">
        <v>0.4</v>
      </c>
    </row>
    <row r="1402" customFormat="false" ht="12.8" hidden="false" customHeight="false" outlineLevel="0" collapsed="false">
      <c r="I1402" s="0" t="n">
        <v>349.75</v>
      </c>
      <c r="J1402" s="0" t="n">
        <v>398.8</v>
      </c>
      <c r="K1402" s="0" t="n">
        <v>0.4</v>
      </c>
    </row>
    <row r="1403" customFormat="false" ht="12.8" hidden="false" customHeight="false" outlineLevel="0" collapsed="false">
      <c r="I1403" s="0" t="n">
        <v>350</v>
      </c>
      <c r="J1403" s="0" t="n">
        <v>398.9</v>
      </c>
      <c r="K1403" s="0" t="n">
        <v>0.4</v>
      </c>
    </row>
    <row r="1404" customFormat="false" ht="12.8" hidden="false" customHeight="false" outlineLevel="0" collapsed="false">
      <c r="I1404" s="0" t="n">
        <v>350.25</v>
      </c>
      <c r="J1404" s="0" t="n">
        <v>399</v>
      </c>
      <c r="K1404" s="0" t="n">
        <v>0.4</v>
      </c>
    </row>
    <row r="1405" customFormat="false" ht="12.8" hidden="false" customHeight="false" outlineLevel="0" collapsed="false">
      <c r="I1405" s="0" t="n">
        <v>350.5</v>
      </c>
      <c r="J1405" s="0" t="n">
        <v>399.1</v>
      </c>
      <c r="K1405" s="0" t="n">
        <v>0.4</v>
      </c>
    </row>
    <row r="1406" customFormat="false" ht="12.8" hidden="false" customHeight="false" outlineLevel="0" collapsed="false">
      <c r="I1406" s="0" t="n">
        <v>350.75</v>
      </c>
      <c r="J1406" s="0" t="n">
        <v>399.2</v>
      </c>
      <c r="K1406" s="0" t="n">
        <v>0.4</v>
      </c>
    </row>
    <row r="1407" customFormat="false" ht="12.8" hidden="false" customHeight="false" outlineLevel="0" collapsed="false">
      <c r="I1407" s="0" t="n">
        <v>351</v>
      </c>
      <c r="J1407" s="0" t="n">
        <v>399.3</v>
      </c>
      <c r="K1407" s="0" t="n">
        <v>0.4</v>
      </c>
    </row>
    <row r="1408" customFormat="false" ht="12.8" hidden="false" customHeight="false" outlineLevel="0" collapsed="false">
      <c r="I1408" s="0" t="n">
        <v>351.25</v>
      </c>
      <c r="J1408" s="0" t="n">
        <v>399.3</v>
      </c>
      <c r="K1408" s="0" t="n">
        <v>0.4</v>
      </c>
    </row>
    <row r="1409" customFormat="false" ht="12.8" hidden="false" customHeight="false" outlineLevel="0" collapsed="false">
      <c r="I1409" s="0" t="n">
        <v>351.5</v>
      </c>
      <c r="J1409" s="0" t="n">
        <v>399.4</v>
      </c>
      <c r="K1409" s="0" t="n">
        <v>0.4</v>
      </c>
    </row>
    <row r="1410" customFormat="false" ht="12.8" hidden="false" customHeight="false" outlineLevel="0" collapsed="false">
      <c r="I1410" s="0" t="n">
        <v>351.75</v>
      </c>
      <c r="J1410" s="0" t="n">
        <v>399.5</v>
      </c>
      <c r="K1410" s="0" t="n">
        <v>0.4</v>
      </c>
    </row>
    <row r="1411" customFormat="false" ht="12.8" hidden="false" customHeight="false" outlineLevel="0" collapsed="false">
      <c r="I1411" s="0" t="n">
        <v>352</v>
      </c>
      <c r="J1411" s="0" t="n">
        <v>399.6</v>
      </c>
      <c r="K1411" s="0" t="n">
        <v>0.4</v>
      </c>
    </row>
    <row r="1412" customFormat="false" ht="12.8" hidden="false" customHeight="false" outlineLevel="0" collapsed="false">
      <c r="I1412" s="0" t="n">
        <v>352.25</v>
      </c>
      <c r="J1412" s="0" t="n">
        <v>399.7</v>
      </c>
      <c r="K1412" s="0" t="n">
        <v>0.4</v>
      </c>
    </row>
    <row r="1413" customFormat="false" ht="12.8" hidden="false" customHeight="false" outlineLevel="0" collapsed="false">
      <c r="I1413" s="0" t="n">
        <v>352.5</v>
      </c>
      <c r="J1413" s="0" t="n">
        <v>399.8</v>
      </c>
      <c r="K1413" s="0" t="n">
        <v>0.4</v>
      </c>
    </row>
    <row r="1414" customFormat="false" ht="12.8" hidden="false" customHeight="false" outlineLevel="0" collapsed="false">
      <c r="I1414" s="0" t="n">
        <v>352.75</v>
      </c>
      <c r="J1414" s="0" t="n">
        <v>399.9</v>
      </c>
      <c r="K1414" s="0" t="n">
        <v>0.4</v>
      </c>
    </row>
    <row r="1415" customFormat="false" ht="12.8" hidden="false" customHeight="false" outlineLevel="0" collapsed="false">
      <c r="I1415" s="0" t="n">
        <v>353</v>
      </c>
      <c r="J1415" s="0" t="n">
        <v>400</v>
      </c>
      <c r="K1415" s="0" t="n">
        <v>0.4</v>
      </c>
    </row>
    <row r="1416" customFormat="false" ht="12.8" hidden="false" customHeight="false" outlineLevel="0" collapsed="false">
      <c r="I1416" s="0" t="n">
        <v>353.25</v>
      </c>
      <c r="J1416" s="0" t="n">
        <v>400.1</v>
      </c>
      <c r="K1416" s="0" t="n">
        <v>0.4</v>
      </c>
    </row>
    <row r="1417" customFormat="false" ht="12.8" hidden="false" customHeight="false" outlineLevel="0" collapsed="false">
      <c r="I1417" s="0" t="n">
        <v>353.5</v>
      </c>
      <c r="J1417" s="0" t="n">
        <v>400.2</v>
      </c>
      <c r="K1417" s="0" t="n">
        <v>0.4</v>
      </c>
    </row>
    <row r="1418" customFormat="false" ht="12.8" hidden="false" customHeight="false" outlineLevel="0" collapsed="false">
      <c r="I1418" s="0" t="n">
        <v>353.75</v>
      </c>
      <c r="J1418" s="0" t="n">
        <v>400.3</v>
      </c>
      <c r="K1418" s="0" t="n">
        <v>0.4</v>
      </c>
    </row>
    <row r="1419" customFormat="false" ht="12.8" hidden="false" customHeight="false" outlineLevel="0" collapsed="false">
      <c r="I1419" s="0" t="n">
        <v>354</v>
      </c>
      <c r="J1419" s="0" t="n">
        <v>400.4</v>
      </c>
      <c r="K1419" s="0" t="n">
        <v>0.6</v>
      </c>
    </row>
    <row r="1420" customFormat="false" ht="12.8" hidden="false" customHeight="false" outlineLevel="0" collapsed="false">
      <c r="I1420" s="0" t="n">
        <v>354.25</v>
      </c>
      <c r="J1420" s="0" t="n">
        <v>401</v>
      </c>
      <c r="K1420" s="0" t="n">
        <v>2.1</v>
      </c>
    </row>
    <row r="1421" customFormat="false" ht="12.8" hidden="false" customHeight="false" outlineLevel="0" collapsed="false">
      <c r="I1421" s="0" t="n">
        <v>354.5</v>
      </c>
      <c r="J1421" s="0" t="n">
        <v>401.5</v>
      </c>
      <c r="K1421" s="0" t="n">
        <v>2.1</v>
      </c>
    </row>
    <row r="1422" customFormat="false" ht="12.8" hidden="false" customHeight="false" outlineLevel="0" collapsed="false">
      <c r="I1422" s="0" t="n">
        <v>354.75</v>
      </c>
      <c r="J1422" s="0" t="n">
        <v>402</v>
      </c>
      <c r="K1422" s="0" t="n">
        <v>2.1</v>
      </c>
    </row>
    <row r="1423" customFormat="false" ht="12.8" hidden="false" customHeight="false" outlineLevel="0" collapsed="false">
      <c r="I1423" s="0" t="n">
        <v>355</v>
      </c>
      <c r="J1423" s="0" t="n">
        <v>402.6</v>
      </c>
      <c r="K1423" s="0" t="n">
        <v>2.1</v>
      </c>
    </row>
    <row r="1424" customFormat="false" ht="12.8" hidden="false" customHeight="false" outlineLevel="0" collapsed="false">
      <c r="I1424" s="0" t="n">
        <v>355.25</v>
      </c>
      <c r="J1424" s="0" t="n">
        <v>403.1</v>
      </c>
      <c r="K1424" s="0" t="n">
        <v>2.1</v>
      </c>
    </row>
    <row r="1425" customFormat="false" ht="12.8" hidden="false" customHeight="false" outlineLevel="0" collapsed="false">
      <c r="I1425" s="0" t="n">
        <v>355.5</v>
      </c>
      <c r="J1425" s="0" t="n">
        <v>403.6</v>
      </c>
      <c r="K1425" s="0" t="n">
        <v>2.1</v>
      </c>
    </row>
    <row r="1426" customFormat="false" ht="12.8" hidden="false" customHeight="false" outlineLevel="0" collapsed="false">
      <c r="I1426" s="0" t="n">
        <v>355.75</v>
      </c>
      <c r="J1426" s="0" t="n">
        <v>404.1</v>
      </c>
      <c r="K1426" s="0" t="n">
        <v>2.1</v>
      </c>
    </row>
    <row r="1427" customFormat="false" ht="12.8" hidden="false" customHeight="false" outlineLevel="0" collapsed="false">
      <c r="I1427" s="0" t="n">
        <v>356</v>
      </c>
      <c r="J1427" s="0" t="n">
        <v>404.7</v>
      </c>
      <c r="K1427" s="0" t="n">
        <v>2.1</v>
      </c>
    </row>
    <row r="1428" customFormat="false" ht="12.8" hidden="false" customHeight="false" outlineLevel="0" collapsed="false">
      <c r="I1428" s="0" t="n">
        <v>356.25</v>
      </c>
      <c r="J1428" s="0" t="n">
        <v>405.2</v>
      </c>
      <c r="K1428" s="0" t="n">
        <v>2.1</v>
      </c>
    </row>
    <row r="1429" customFormat="false" ht="12.8" hidden="false" customHeight="false" outlineLevel="0" collapsed="false">
      <c r="I1429" s="0" t="n">
        <v>356.5</v>
      </c>
      <c r="J1429" s="0" t="n">
        <v>405.7</v>
      </c>
      <c r="K1429" s="0" t="n">
        <v>2.1</v>
      </c>
    </row>
    <row r="1430" customFormat="false" ht="12.8" hidden="false" customHeight="false" outlineLevel="0" collapsed="false">
      <c r="I1430" s="0" t="n">
        <v>356.75</v>
      </c>
      <c r="J1430" s="0" t="n">
        <v>406.3</v>
      </c>
      <c r="K1430" s="0" t="n">
        <v>2.1</v>
      </c>
    </row>
    <row r="1431" customFormat="false" ht="12.8" hidden="false" customHeight="false" outlineLevel="0" collapsed="false">
      <c r="I1431" s="0" t="n">
        <v>357</v>
      </c>
      <c r="J1431" s="0" t="n">
        <v>406.8</v>
      </c>
      <c r="K1431" s="0" t="n">
        <v>2.1</v>
      </c>
    </row>
    <row r="1432" customFormat="false" ht="12.8" hidden="false" customHeight="false" outlineLevel="0" collapsed="false">
      <c r="I1432" s="0" t="n">
        <v>357.25</v>
      </c>
      <c r="J1432" s="0" t="n">
        <v>407.3</v>
      </c>
      <c r="K1432" s="0" t="n">
        <v>2.1</v>
      </c>
    </row>
    <row r="1433" customFormat="false" ht="12.8" hidden="false" customHeight="false" outlineLevel="0" collapsed="false">
      <c r="I1433" s="0" t="n">
        <v>357.5</v>
      </c>
      <c r="J1433" s="0" t="n">
        <v>415.6</v>
      </c>
      <c r="K1433" s="0" t="n">
        <v>33.2</v>
      </c>
    </row>
    <row r="1434" customFormat="false" ht="12.8" hidden="false" customHeight="false" outlineLevel="0" collapsed="false">
      <c r="I1434" s="0" t="n">
        <v>357.75</v>
      </c>
      <c r="J1434" s="0" t="n">
        <v>417.9</v>
      </c>
      <c r="K1434" s="0" t="n">
        <v>8.9</v>
      </c>
    </row>
    <row r="1435" customFormat="false" ht="12.8" hidden="false" customHeight="false" outlineLevel="0" collapsed="false">
      <c r="I1435" s="0" t="n">
        <v>358</v>
      </c>
      <c r="J1435" s="0" t="n">
        <v>420.1</v>
      </c>
      <c r="K1435" s="0" t="n">
        <v>8.9</v>
      </c>
    </row>
    <row r="1436" customFormat="false" ht="12.8" hidden="false" customHeight="false" outlineLevel="0" collapsed="false">
      <c r="I1436" s="0" t="n">
        <v>358.25</v>
      </c>
      <c r="J1436" s="0" t="n">
        <v>422.3</v>
      </c>
      <c r="K1436" s="0" t="n">
        <v>8.7</v>
      </c>
    </row>
    <row r="1437" customFormat="false" ht="12.8" hidden="false" customHeight="false" outlineLevel="0" collapsed="false">
      <c r="I1437" s="0" t="n">
        <v>358.5</v>
      </c>
      <c r="J1437" s="0" t="n">
        <v>423.8</v>
      </c>
      <c r="K1437" s="0" t="n">
        <v>6.2</v>
      </c>
    </row>
    <row r="1438" customFormat="false" ht="12.8" hidden="false" customHeight="false" outlineLevel="0" collapsed="false">
      <c r="I1438" s="0" t="n">
        <v>358.75</v>
      </c>
      <c r="J1438" s="0" t="n">
        <v>425.3</v>
      </c>
      <c r="K1438" s="0" t="n">
        <v>6.2</v>
      </c>
    </row>
    <row r="1439" customFormat="false" ht="12.8" hidden="false" customHeight="false" outlineLevel="0" collapsed="false">
      <c r="I1439" s="0" t="n">
        <v>359</v>
      </c>
      <c r="J1439" s="0" t="n">
        <v>426.9</v>
      </c>
      <c r="K1439" s="0" t="n">
        <v>6.2</v>
      </c>
    </row>
    <row r="1440" customFormat="false" ht="12.8" hidden="false" customHeight="false" outlineLevel="0" collapsed="false">
      <c r="I1440" s="0" t="n">
        <v>359.25</v>
      </c>
      <c r="J1440" s="0" t="n">
        <v>428.4</v>
      </c>
      <c r="K1440" s="0" t="n">
        <v>6.2</v>
      </c>
    </row>
    <row r="1441" customFormat="false" ht="12.8" hidden="false" customHeight="false" outlineLevel="0" collapsed="false">
      <c r="I1441" s="0" t="n">
        <v>359.5</v>
      </c>
      <c r="J1441" s="0" t="n">
        <v>429.6</v>
      </c>
      <c r="K1441" s="0" t="n">
        <v>4.8</v>
      </c>
    </row>
    <row r="1442" customFormat="false" ht="12.8" hidden="false" customHeight="false" outlineLevel="0" collapsed="false">
      <c r="I1442" s="0" t="n">
        <v>359.75</v>
      </c>
      <c r="J1442" s="0" t="n">
        <v>430.2</v>
      </c>
      <c r="K1442" s="0" t="n">
        <v>2.1</v>
      </c>
    </row>
    <row r="1443" customFormat="false" ht="12.8" hidden="false" customHeight="false" outlineLevel="0" collapsed="false">
      <c r="I1443" s="0" t="n">
        <v>360</v>
      </c>
      <c r="J1443" s="0" t="n">
        <v>430.7</v>
      </c>
      <c r="K1443" s="0" t="n">
        <v>2.1</v>
      </c>
    </row>
    <row r="1444" customFormat="false" ht="12.8" hidden="false" customHeight="false" outlineLevel="0" collapsed="false">
      <c r="I1444" s="0" t="n">
        <v>360.25</v>
      </c>
      <c r="J1444" s="0" t="n">
        <v>431.2</v>
      </c>
      <c r="K1444" s="0" t="n">
        <v>2.1</v>
      </c>
    </row>
    <row r="1445" customFormat="false" ht="12.8" hidden="false" customHeight="false" outlineLevel="0" collapsed="false">
      <c r="I1445" s="0" t="n">
        <v>360.5</v>
      </c>
      <c r="J1445" s="0" t="n">
        <v>431.8</v>
      </c>
      <c r="K1445" s="0" t="n">
        <v>2.1</v>
      </c>
    </row>
    <row r="1446" customFormat="false" ht="12.8" hidden="false" customHeight="false" outlineLevel="0" collapsed="false">
      <c r="I1446" s="0" t="n">
        <v>360.75</v>
      </c>
      <c r="J1446" s="0" t="n">
        <v>432.3</v>
      </c>
      <c r="K1446" s="0" t="n">
        <v>2.1</v>
      </c>
    </row>
    <row r="1447" customFormat="false" ht="12.8" hidden="false" customHeight="false" outlineLevel="0" collapsed="false">
      <c r="I1447" s="0" t="n">
        <v>361</v>
      </c>
      <c r="J1447" s="0" t="n">
        <v>432.8</v>
      </c>
      <c r="K1447" s="0" t="n">
        <v>2.1</v>
      </c>
    </row>
    <row r="1448" customFormat="false" ht="12.8" hidden="false" customHeight="false" outlineLevel="0" collapsed="false">
      <c r="I1448" s="0" t="n">
        <v>361.25</v>
      </c>
      <c r="J1448" s="0" t="n">
        <v>433.4</v>
      </c>
      <c r="K1448" s="0" t="n">
        <v>2.1</v>
      </c>
    </row>
    <row r="1449" customFormat="false" ht="12.8" hidden="false" customHeight="false" outlineLevel="0" collapsed="false">
      <c r="I1449" s="0" t="n">
        <v>361.5</v>
      </c>
      <c r="J1449" s="0" t="n">
        <v>433.9</v>
      </c>
      <c r="K1449" s="0" t="n">
        <v>2.1</v>
      </c>
    </row>
    <row r="1450" customFormat="false" ht="12.8" hidden="false" customHeight="false" outlineLevel="0" collapsed="false">
      <c r="I1450" s="0" t="n">
        <v>361.75</v>
      </c>
      <c r="J1450" s="0" t="n">
        <v>434.4</v>
      </c>
      <c r="K1450" s="0" t="n">
        <v>2.1</v>
      </c>
    </row>
    <row r="1451" customFormat="false" ht="12.8" hidden="false" customHeight="false" outlineLevel="0" collapsed="false">
      <c r="I1451" s="0" t="n">
        <v>362</v>
      </c>
      <c r="J1451" s="0" t="n">
        <v>434.9</v>
      </c>
      <c r="K1451" s="0" t="n">
        <v>2.1</v>
      </c>
    </row>
    <row r="1452" customFormat="false" ht="12.8" hidden="false" customHeight="false" outlineLevel="0" collapsed="false">
      <c r="I1452" s="0" t="n">
        <v>362.25</v>
      </c>
      <c r="J1452" s="0" t="n">
        <v>435.5</v>
      </c>
      <c r="K1452" s="0" t="n">
        <v>2.1</v>
      </c>
    </row>
    <row r="1453" customFormat="false" ht="12.8" hidden="false" customHeight="false" outlineLevel="0" collapsed="false">
      <c r="I1453" s="0" t="n">
        <v>362.5</v>
      </c>
      <c r="J1453" s="0" t="n">
        <v>436</v>
      </c>
      <c r="K1453" s="0" t="n">
        <v>2.1</v>
      </c>
    </row>
    <row r="1454" customFormat="false" ht="12.8" hidden="false" customHeight="false" outlineLevel="0" collapsed="false">
      <c r="I1454" s="0" t="n">
        <v>362.75</v>
      </c>
      <c r="J1454" s="0" t="n">
        <v>436.5</v>
      </c>
      <c r="K1454" s="0" t="n">
        <v>2.1</v>
      </c>
    </row>
    <row r="1455" customFormat="false" ht="12.8" hidden="false" customHeight="false" outlineLevel="0" collapsed="false">
      <c r="I1455" s="0" t="n">
        <v>363</v>
      </c>
      <c r="J1455" s="0" t="n">
        <v>436.9</v>
      </c>
      <c r="K1455" s="0" t="n">
        <v>1.5</v>
      </c>
    </row>
    <row r="1456" customFormat="false" ht="12.8" hidden="false" customHeight="false" outlineLevel="0" collapsed="false">
      <c r="I1456" s="0" t="n">
        <v>363.25</v>
      </c>
      <c r="J1456" s="0" t="n">
        <v>437.2</v>
      </c>
      <c r="K1456" s="0" t="n">
        <v>1.2</v>
      </c>
    </row>
    <row r="1457" customFormat="false" ht="12.8" hidden="false" customHeight="false" outlineLevel="0" collapsed="false">
      <c r="I1457" s="0" t="n">
        <v>363.5</v>
      </c>
      <c r="J1457" s="0" t="n">
        <v>437.5</v>
      </c>
      <c r="K1457" s="0" t="n">
        <v>1.2</v>
      </c>
    </row>
    <row r="1458" customFormat="false" ht="12.8" hidden="false" customHeight="false" outlineLevel="0" collapsed="false">
      <c r="I1458" s="0" t="n">
        <v>363.75</v>
      </c>
      <c r="J1458" s="0" t="n">
        <v>437.8</v>
      </c>
      <c r="K1458" s="0" t="n">
        <v>1.2</v>
      </c>
    </row>
    <row r="1459" customFormat="false" ht="12.8" hidden="false" customHeight="false" outlineLevel="0" collapsed="false">
      <c r="I1459" s="0" t="n">
        <v>364</v>
      </c>
      <c r="J1459" s="0" t="n">
        <v>438.1</v>
      </c>
      <c r="K1459" s="0" t="n">
        <v>1.2</v>
      </c>
    </row>
    <row r="1460" customFormat="false" ht="12.8" hidden="false" customHeight="false" outlineLevel="0" collapsed="false">
      <c r="I1460" s="0" t="n">
        <v>364.25</v>
      </c>
      <c r="J1460" s="0" t="n">
        <v>438.5</v>
      </c>
      <c r="K1460" s="0" t="n">
        <v>1.2</v>
      </c>
    </row>
    <row r="1461" customFormat="false" ht="12.8" hidden="false" customHeight="false" outlineLevel="0" collapsed="false">
      <c r="I1461" s="0" t="n">
        <v>364.5</v>
      </c>
      <c r="J1461" s="0" t="n">
        <v>438.8</v>
      </c>
      <c r="K1461" s="0" t="n">
        <v>1.2</v>
      </c>
    </row>
    <row r="1462" customFormat="false" ht="12.8" hidden="false" customHeight="false" outlineLevel="0" collapsed="false">
      <c r="I1462" s="0" t="n">
        <v>364.75</v>
      </c>
      <c r="J1462" s="0" t="n">
        <v>439.1</v>
      </c>
      <c r="K1462" s="0" t="n">
        <v>1.2</v>
      </c>
    </row>
    <row r="1463" customFormat="false" ht="12.8" hidden="false" customHeight="false" outlineLevel="0" collapsed="false">
      <c r="I1463" s="0" t="n">
        <v>365</v>
      </c>
      <c r="J1463" s="0" t="n">
        <v>439.4</v>
      </c>
      <c r="K1463" s="0" t="n">
        <v>1.2</v>
      </c>
    </row>
    <row r="1464" customFormat="false" ht="12.8" hidden="false" customHeight="false" outlineLevel="0" collapsed="false">
      <c r="I1464" s="0" t="n">
        <v>365.25</v>
      </c>
      <c r="J1464" s="0" t="n">
        <v>439.7</v>
      </c>
      <c r="K1464" s="0" t="n">
        <v>1.2</v>
      </c>
    </row>
    <row r="1465" customFormat="false" ht="12.8" hidden="false" customHeight="false" outlineLevel="0" collapsed="false">
      <c r="I1465" s="0" t="n">
        <v>365.5</v>
      </c>
      <c r="J1465" s="0" t="n">
        <v>440</v>
      </c>
      <c r="K1465" s="0" t="n">
        <v>1.2</v>
      </c>
    </row>
    <row r="1466" customFormat="false" ht="12.8" hidden="false" customHeight="false" outlineLevel="0" collapsed="false">
      <c r="I1466" s="0" t="n">
        <v>365.75</v>
      </c>
      <c r="J1466" s="0" t="n">
        <v>440.3</v>
      </c>
      <c r="K1466" s="0" t="n">
        <v>1.2</v>
      </c>
    </row>
    <row r="1467" customFormat="false" ht="12.8" hidden="false" customHeight="false" outlineLevel="0" collapsed="false">
      <c r="I1467" s="0" t="n">
        <v>366</v>
      </c>
      <c r="J1467" s="0" t="n">
        <v>440.6</v>
      </c>
      <c r="K1467" s="0" t="n">
        <v>1.2</v>
      </c>
    </row>
    <row r="1468" customFormat="false" ht="12.8" hidden="false" customHeight="false" outlineLevel="0" collapsed="false">
      <c r="I1468" s="0" t="n">
        <v>366.25</v>
      </c>
      <c r="J1468" s="0" t="n">
        <v>440.9</v>
      </c>
      <c r="K1468" s="0" t="n">
        <v>1.2</v>
      </c>
    </row>
    <row r="1469" customFormat="false" ht="12.8" hidden="false" customHeight="false" outlineLevel="0" collapsed="false">
      <c r="I1469" s="0" t="n">
        <v>366.5</v>
      </c>
      <c r="J1469" s="0" t="n">
        <v>441.2</v>
      </c>
      <c r="K1469" s="0" t="n">
        <v>1.2</v>
      </c>
    </row>
    <row r="1470" customFormat="false" ht="12.8" hidden="false" customHeight="false" outlineLevel="0" collapsed="false">
      <c r="I1470" s="0" t="n">
        <v>366.75</v>
      </c>
      <c r="J1470" s="0" t="n">
        <v>441.5</v>
      </c>
      <c r="K1470" s="0" t="n">
        <v>1.2</v>
      </c>
    </row>
    <row r="1471" customFormat="false" ht="12.8" hidden="false" customHeight="false" outlineLevel="0" collapsed="false">
      <c r="I1471" s="0" t="n">
        <v>367</v>
      </c>
      <c r="J1471" s="0" t="n">
        <v>441.8</v>
      </c>
      <c r="K1471" s="0" t="n">
        <v>1.2</v>
      </c>
    </row>
    <row r="1472" customFormat="false" ht="12.8" hidden="false" customHeight="false" outlineLevel="0" collapsed="false">
      <c r="I1472" s="0" t="n">
        <v>367.25</v>
      </c>
      <c r="J1472" s="0" t="n">
        <v>442.1</v>
      </c>
      <c r="K1472" s="0" t="n">
        <v>1.2</v>
      </c>
    </row>
    <row r="1473" customFormat="false" ht="12.8" hidden="false" customHeight="false" outlineLevel="0" collapsed="false">
      <c r="I1473" s="0" t="n">
        <v>367.5</v>
      </c>
      <c r="J1473" s="0" t="n">
        <v>442.4</v>
      </c>
      <c r="K1473" s="0" t="n">
        <v>1.2</v>
      </c>
    </row>
    <row r="1474" customFormat="false" ht="12.8" hidden="false" customHeight="false" outlineLevel="0" collapsed="false">
      <c r="I1474" s="0" t="n">
        <v>367.75</v>
      </c>
      <c r="J1474" s="0" t="n">
        <v>442.7</v>
      </c>
      <c r="K1474" s="0" t="n">
        <v>1.2</v>
      </c>
    </row>
    <row r="1475" customFormat="false" ht="12.8" hidden="false" customHeight="false" outlineLevel="0" collapsed="false">
      <c r="I1475" s="0" t="n">
        <v>368</v>
      </c>
      <c r="J1475" s="0" t="n">
        <v>443</v>
      </c>
      <c r="K1475" s="0" t="n">
        <v>1.2</v>
      </c>
    </row>
    <row r="1476" customFormat="false" ht="12.8" hidden="false" customHeight="false" outlineLevel="0" collapsed="false">
      <c r="I1476" s="0" t="n">
        <v>368.25</v>
      </c>
      <c r="J1476" s="0" t="n">
        <v>443.3</v>
      </c>
      <c r="K1476" s="0" t="n">
        <v>1.2</v>
      </c>
    </row>
    <row r="1477" customFormat="false" ht="12.8" hidden="false" customHeight="false" outlineLevel="0" collapsed="false">
      <c r="I1477" s="0" t="n">
        <v>368.5</v>
      </c>
      <c r="J1477" s="0" t="n">
        <v>443.6</v>
      </c>
      <c r="K1477" s="0" t="n">
        <v>1.2</v>
      </c>
    </row>
    <row r="1478" customFormat="false" ht="12.8" hidden="false" customHeight="false" outlineLevel="0" collapsed="false">
      <c r="I1478" s="0" t="n">
        <v>368.75</v>
      </c>
      <c r="J1478" s="0" t="n">
        <v>443.9</v>
      </c>
      <c r="K1478" s="0" t="n">
        <v>1.2</v>
      </c>
    </row>
    <row r="1479" customFormat="false" ht="12.8" hidden="false" customHeight="false" outlineLevel="0" collapsed="false">
      <c r="I1479" s="0" t="n">
        <v>369</v>
      </c>
      <c r="J1479" s="0" t="n">
        <v>444.2</v>
      </c>
      <c r="K1479" s="0" t="n">
        <v>1.1</v>
      </c>
    </row>
    <row r="1480" customFormat="false" ht="12.8" hidden="false" customHeight="false" outlineLevel="0" collapsed="false">
      <c r="I1480" s="0" t="n">
        <v>369.25</v>
      </c>
      <c r="J1480" s="0" t="n">
        <v>444.5</v>
      </c>
      <c r="K1480" s="0" t="n">
        <v>1.1</v>
      </c>
    </row>
    <row r="1481" customFormat="false" ht="12.8" hidden="false" customHeight="false" outlineLevel="0" collapsed="false">
      <c r="I1481" s="0" t="n">
        <v>369.5</v>
      </c>
      <c r="J1481" s="0" t="n">
        <v>444.8</v>
      </c>
      <c r="K1481" s="0" t="n">
        <v>1.1</v>
      </c>
    </row>
    <row r="1482" customFormat="false" ht="12.8" hidden="false" customHeight="false" outlineLevel="0" collapsed="false">
      <c r="I1482" s="0" t="n">
        <v>369.75</v>
      </c>
      <c r="J1482" s="0" t="n">
        <v>445.1</v>
      </c>
      <c r="K1482" s="0" t="n">
        <v>1.1</v>
      </c>
    </row>
    <row r="1483" customFormat="false" ht="12.8" hidden="false" customHeight="false" outlineLevel="0" collapsed="false">
      <c r="I1483" s="0" t="n">
        <v>370</v>
      </c>
      <c r="J1483" s="0" t="n">
        <v>445.3</v>
      </c>
      <c r="K1483" s="0" t="n">
        <v>1.1</v>
      </c>
    </row>
    <row r="1484" customFormat="false" ht="12.8" hidden="false" customHeight="false" outlineLevel="0" collapsed="false">
      <c r="I1484" s="0" t="n">
        <v>370.25</v>
      </c>
      <c r="J1484" s="0" t="n">
        <v>445.6</v>
      </c>
      <c r="K1484" s="0" t="n">
        <v>1.1</v>
      </c>
    </row>
    <row r="1485" customFormat="false" ht="12.8" hidden="false" customHeight="false" outlineLevel="0" collapsed="false">
      <c r="I1485" s="0" t="n">
        <v>370.5</v>
      </c>
      <c r="J1485" s="0" t="n">
        <v>445.9</v>
      </c>
      <c r="K1485" s="0" t="n">
        <v>1.1</v>
      </c>
    </row>
    <row r="1486" customFormat="false" ht="12.8" hidden="false" customHeight="false" outlineLevel="0" collapsed="false">
      <c r="I1486" s="0" t="n">
        <v>370.75</v>
      </c>
      <c r="J1486" s="0" t="n">
        <v>446.2</v>
      </c>
      <c r="K1486" s="0" t="n">
        <v>1.1</v>
      </c>
    </row>
    <row r="1487" customFormat="false" ht="12.8" hidden="false" customHeight="false" outlineLevel="0" collapsed="false">
      <c r="I1487" s="0" t="n">
        <v>371</v>
      </c>
      <c r="J1487" s="0" t="n">
        <v>446.4</v>
      </c>
      <c r="K1487" s="0" t="n">
        <v>1.1</v>
      </c>
    </row>
    <row r="1488" customFormat="false" ht="12.8" hidden="false" customHeight="false" outlineLevel="0" collapsed="false">
      <c r="I1488" s="0" t="n">
        <v>371.25</v>
      </c>
      <c r="J1488" s="0" t="n">
        <v>446.7</v>
      </c>
      <c r="K1488" s="0" t="n">
        <v>1.1</v>
      </c>
    </row>
    <row r="1489" customFormat="false" ht="12.8" hidden="false" customHeight="false" outlineLevel="0" collapsed="false">
      <c r="I1489" s="0" t="n">
        <v>371.5</v>
      </c>
      <c r="J1489" s="0" t="n">
        <v>447</v>
      </c>
      <c r="K1489" s="0" t="n">
        <v>1.1</v>
      </c>
    </row>
    <row r="1490" customFormat="false" ht="12.8" hidden="false" customHeight="false" outlineLevel="0" collapsed="false">
      <c r="I1490" s="0" t="n">
        <v>371.75</v>
      </c>
      <c r="J1490" s="0" t="n">
        <v>447.3</v>
      </c>
      <c r="K1490" s="0" t="n">
        <v>1.1</v>
      </c>
    </row>
    <row r="1491" customFormat="false" ht="12.8" hidden="false" customHeight="false" outlineLevel="0" collapsed="false">
      <c r="I1491" s="0" t="n">
        <v>372</v>
      </c>
      <c r="J1491" s="0" t="n">
        <v>447.6</v>
      </c>
      <c r="K1491" s="0" t="n">
        <v>1.1</v>
      </c>
    </row>
    <row r="1492" customFormat="false" ht="12.8" hidden="false" customHeight="false" outlineLevel="0" collapsed="false">
      <c r="I1492" s="0" t="n">
        <v>372.25</v>
      </c>
      <c r="J1492" s="0" t="n">
        <v>447.8</v>
      </c>
      <c r="K1492" s="0" t="n">
        <v>1.1</v>
      </c>
    </row>
    <row r="1493" customFormat="false" ht="12.8" hidden="false" customHeight="false" outlineLevel="0" collapsed="false">
      <c r="I1493" s="0" t="n">
        <v>372.5</v>
      </c>
      <c r="J1493" s="0" t="n">
        <v>448.1</v>
      </c>
      <c r="K1493" s="0" t="n">
        <v>1.1</v>
      </c>
    </row>
    <row r="1494" customFormat="false" ht="12.8" hidden="false" customHeight="false" outlineLevel="0" collapsed="false">
      <c r="I1494" s="0" t="n">
        <v>372.75</v>
      </c>
      <c r="J1494" s="0" t="n">
        <v>448.4</v>
      </c>
      <c r="K1494" s="0" t="n">
        <v>1.1</v>
      </c>
    </row>
    <row r="1495" customFormat="false" ht="12.8" hidden="false" customHeight="false" outlineLevel="0" collapsed="false">
      <c r="I1495" s="0" t="n">
        <v>373</v>
      </c>
      <c r="J1495" s="0" t="n">
        <v>448.7</v>
      </c>
      <c r="K1495" s="0" t="n">
        <v>1.1</v>
      </c>
    </row>
    <row r="1496" customFormat="false" ht="12.8" hidden="false" customHeight="false" outlineLevel="0" collapsed="false">
      <c r="I1496" s="0" t="n">
        <v>373.25</v>
      </c>
      <c r="J1496" s="0" t="n">
        <v>448.9</v>
      </c>
      <c r="K1496" s="0" t="n">
        <v>1.1</v>
      </c>
    </row>
    <row r="1497" customFormat="false" ht="12.8" hidden="false" customHeight="false" outlineLevel="0" collapsed="false">
      <c r="I1497" s="0" t="n">
        <v>373.5</v>
      </c>
      <c r="J1497" s="0" t="n">
        <v>449.2</v>
      </c>
      <c r="K1497" s="0" t="n">
        <v>1.1</v>
      </c>
    </row>
    <row r="1498" customFormat="false" ht="12.8" hidden="false" customHeight="false" outlineLevel="0" collapsed="false">
      <c r="I1498" s="0" t="n">
        <v>373.75</v>
      </c>
      <c r="J1498" s="0" t="n">
        <v>449.5</v>
      </c>
      <c r="K1498" s="0" t="n">
        <v>1.1</v>
      </c>
    </row>
    <row r="1499" customFormat="false" ht="12.8" hidden="false" customHeight="false" outlineLevel="0" collapsed="false">
      <c r="I1499" s="0" t="n">
        <v>374</v>
      </c>
      <c r="J1499" s="0" t="n">
        <v>449.8</v>
      </c>
      <c r="K1499" s="0" t="n">
        <v>1.1</v>
      </c>
    </row>
    <row r="1500" customFormat="false" ht="12.8" hidden="false" customHeight="false" outlineLevel="0" collapsed="false">
      <c r="I1500" s="0" t="n">
        <v>374.25</v>
      </c>
      <c r="J1500" s="0" t="n">
        <v>450.1</v>
      </c>
      <c r="K1500" s="0" t="n">
        <v>1.1</v>
      </c>
    </row>
    <row r="1501" customFormat="false" ht="12.8" hidden="false" customHeight="false" outlineLevel="0" collapsed="false">
      <c r="I1501" s="0" t="n">
        <v>374.5</v>
      </c>
      <c r="J1501" s="0" t="n">
        <v>450.3</v>
      </c>
      <c r="K1501" s="0" t="n">
        <v>1.1</v>
      </c>
    </row>
    <row r="1502" customFormat="false" ht="12.8" hidden="false" customHeight="false" outlineLevel="0" collapsed="false">
      <c r="I1502" s="0" t="n">
        <v>374.75</v>
      </c>
      <c r="J1502" s="0" t="n">
        <v>450.6</v>
      </c>
      <c r="K1502" s="0" t="n">
        <v>1.1</v>
      </c>
    </row>
    <row r="1503" customFormat="false" ht="12.8" hidden="false" customHeight="false" outlineLevel="0" collapsed="false">
      <c r="I1503" s="0" t="n">
        <v>375</v>
      </c>
      <c r="J1503" s="0" t="n">
        <v>450.9</v>
      </c>
      <c r="K1503" s="0" t="n">
        <v>1.1</v>
      </c>
    </row>
    <row r="1504" customFormat="false" ht="12.8" hidden="false" customHeight="false" outlineLevel="0" collapsed="false">
      <c r="I1504" s="0" t="n">
        <v>375.25</v>
      </c>
      <c r="J1504" s="0" t="n">
        <v>451.2</v>
      </c>
      <c r="K1504" s="0" t="n">
        <v>1.1</v>
      </c>
    </row>
    <row r="1505" customFormat="false" ht="12.8" hidden="false" customHeight="false" outlineLevel="0" collapsed="false">
      <c r="I1505" s="0" t="n">
        <v>375.5</v>
      </c>
      <c r="J1505" s="0" t="n">
        <v>451.5</v>
      </c>
      <c r="K1505" s="0" t="n">
        <v>1.1</v>
      </c>
    </row>
    <row r="1506" customFormat="false" ht="12.8" hidden="false" customHeight="false" outlineLevel="0" collapsed="false">
      <c r="I1506" s="0" t="n">
        <v>375.75</v>
      </c>
      <c r="J1506" s="0" t="n">
        <v>451.8</v>
      </c>
      <c r="K1506" s="0" t="n">
        <v>1.4</v>
      </c>
    </row>
    <row r="1507" customFormat="false" ht="12.8" hidden="false" customHeight="false" outlineLevel="0" collapsed="false">
      <c r="I1507" s="0" t="n">
        <v>376</v>
      </c>
      <c r="J1507" s="0" t="n">
        <v>452.1</v>
      </c>
      <c r="K1507" s="0" t="n">
        <v>1.4</v>
      </c>
    </row>
    <row r="1508" customFormat="false" ht="12.8" hidden="false" customHeight="false" outlineLevel="0" collapsed="false">
      <c r="I1508" s="0" t="n">
        <v>376.25</v>
      </c>
      <c r="J1508" s="0" t="n">
        <v>452.5</v>
      </c>
      <c r="K1508" s="0" t="n">
        <v>1.4</v>
      </c>
    </row>
    <row r="1509" customFormat="false" ht="12.8" hidden="false" customHeight="false" outlineLevel="0" collapsed="false">
      <c r="I1509" s="0" t="n">
        <v>376.5</v>
      </c>
      <c r="J1509" s="0" t="n">
        <v>452.8</v>
      </c>
      <c r="K1509" s="0" t="n">
        <v>1.4</v>
      </c>
    </row>
    <row r="1510" customFormat="false" ht="12.8" hidden="false" customHeight="false" outlineLevel="0" collapsed="false">
      <c r="I1510" s="0" t="n">
        <v>376.75</v>
      </c>
      <c r="J1510" s="0" t="n">
        <v>453.2</v>
      </c>
      <c r="K1510" s="0" t="n">
        <v>1.4</v>
      </c>
    </row>
    <row r="1511" customFormat="false" ht="12.8" hidden="false" customHeight="false" outlineLevel="0" collapsed="false">
      <c r="I1511" s="0" t="n">
        <v>377</v>
      </c>
      <c r="J1511" s="0" t="n">
        <v>453.5</v>
      </c>
      <c r="K1511" s="0" t="n">
        <v>1.4</v>
      </c>
    </row>
    <row r="1512" customFormat="false" ht="12.8" hidden="false" customHeight="false" outlineLevel="0" collapsed="false">
      <c r="I1512" s="0" t="n">
        <v>377.25</v>
      </c>
      <c r="J1512" s="0" t="n">
        <v>453.9</v>
      </c>
      <c r="K1512" s="0" t="n">
        <v>1.4</v>
      </c>
    </row>
    <row r="1513" customFormat="false" ht="12.8" hidden="false" customHeight="false" outlineLevel="0" collapsed="false">
      <c r="I1513" s="0" t="n">
        <v>377.5</v>
      </c>
      <c r="J1513" s="0" t="n">
        <v>454.2</v>
      </c>
      <c r="K1513" s="0" t="n">
        <v>1.4</v>
      </c>
    </row>
    <row r="1514" customFormat="false" ht="12.8" hidden="false" customHeight="false" outlineLevel="0" collapsed="false">
      <c r="I1514" s="0" t="n">
        <v>377.75</v>
      </c>
      <c r="J1514" s="0" t="n">
        <v>454.6</v>
      </c>
      <c r="K1514" s="0" t="n">
        <v>1.4</v>
      </c>
    </row>
    <row r="1515" customFormat="false" ht="12.8" hidden="false" customHeight="false" outlineLevel="0" collapsed="false">
      <c r="I1515" s="0" t="n">
        <v>378</v>
      </c>
      <c r="J1515" s="0" t="n">
        <v>454.9</v>
      </c>
      <c r="K1515" s="0" t="n">
        <v>1.4</v>
      </c>
    </row>
    <row r="1516" customFormat="false" ht="12.8" hidden="false" customHeight="false" outlineLevel="0" collapsed="false">
      <c r="I1516" s="0" t="n">
        <v>378.25</v>
      </c>
      <c r="J1516" s="0" t="n">
        <v>455.2</v>
      </c>
      <c r="K1516" s="0" t="n">
        <v>1.4</v>
      </c>
    </row>
    <row r="1517" customFormat="false" ht="12.8" hidden="false" customHeight="false" outlineLevel="0" collapsed="false">
      <c r="I1517" s="0" t="n">
        <v>378.5</v>
      </c>
      <c r="J1517" s="0" t="n">
        <v>455.6</v>
      </c>
      <c r="K1517" s="0" t="n">
        <v>1.4</v>
      </c>
    </row>
    <row r="1518" customFormat="false" ht="12.8" hidden="false" customHeight="false" outlineLevel="0" collapsed="false">
      <c r="I1518" s="0" t="n">
        <v>378.75</v>
      </c>
      <c r="J1518" s="0" t="n">
        <v>455.9</v>
      </c>
      <c r="K1518" s="0" t="n">
        <v>1.4</v>
      </c>
    </row>
    <row r="1519" customFormat="false" ht="12.8" hidden="false" customHeight="false" outlineLevel="0" collapsed="false">
      <c r="I1519" s="0" t="n">
        <v>379</v>
      </c>
      <c r="J1519" s="0" t="n">
        <v>456.3</v>
      </c>
      <c r="K1519" s="0" t="n">
        <v>1.4</v>
      </c>
    </row>
    <row r="1520" customFormat="false" ht="12.8" hidden="false" customHeight="false" outlineLevel="0" collapsed="false">
      <c r="I1520" s="0" t="n">
        <v>379.25</v>
      </c>
      <c r="J1520" s="0" t="n">
        <v>456.6</v>
      </c>
      <c r="K1520" s="0" t="n">
        <v>1.4</v>
      </c>
    </row>
    <row r="1521" customFormat="false" ht="12.8" hidden="false" customHeight="false" outlineLevel="0" collapsed="false">
      <c r="I1521" s="0" t="n">
        <v>379.5</v>
      </c>
      <c r="J1521" s="0" t="n">
        <v>457</v>
      </c>
      <c r="K1521" s="0" t="n">
        <v>1.4</v>
      </c>
    </row>
    <row r="1522" customFormat="false" ht="12.8" hidden="false" customHeight="false" outlineLevel="0" collapsed="false">
      <c r="I1522" s="0" t="n">
        <v>379.75</v>
      </c>
      <c r="J1522" s="0" t="n">
        <v>457.3</v>
      </c>
      <c r="K1522" s="0" t="n">
        <v>1.4</v>
      </c>
    </row>
    <row r="1523" customFormat="false" ht="12.8" hidden="false" customHeight="false" outlineLevel="0" collapsed="false">
      <c r="I1523" s="0" t="n">
        <v>380</v>
      </c>
      <c r="J1523" s="0" t="n">
        <v>457.7</v>
      </c>
      <c r="K1523" s="0" t="n">
        <v>1.4</v>
      </c>
    </row>
    <row r="1524" customFormat="false" ht="12.8" hidden="false" customHeight="false" outlineLevel="0" collapsed="false">
      <c r="I1524" s="0" t="n">
        <v>380.25</v>
      </c>
      <c r="J1524" s="0" t="n">
        <v>458</v>
      </c>
      <c r="K1524" s="0" t="n">
        <v>1.4</v>
      </c>
    </row>
    <row r="1525" customFormat="false" ht="12.8" hidden="false" customHeight="false" outlineLevel="0" collapsed="false">
      <c r="I1525" s="0" t="n">
        <v>380.5</v>
      </c>
      <c r="J1525" s="0" t="n">
        <v>458.3</v>
      </c>
      <c r="K1525" s="0" t="n">
        <v>1.4</v>
      </c>
    </row>
    <row r="1526" customFormat="false" ht="12.8" hidden="false" customHeight="false" outlineLevel="0" collapsed="false">
      <c r="I1526" s="0" t="n">
        <v>380.75</v>
      </c>
      <c r="J1526" s="0" t="n">
        <v>458.7</v>
      </c>
      <c r="K1526" s="0" t="n">
        <v>1.4</v>
      </c>
    </row>
    <row r="1527" customFormat="false" ht="12.8" hidden="false" customHeight="false" outlineLevel="0" collapsed="false">
      <c r="I1527" s="0" t="n">
        <v>381</v>
      </c>
      <c r="J1527" s="0" t="n">
        <v>461.2</v>
      </c>
      <c r="K1527" s="0" t="n">
        <v>10.1</v>
      </c>
    </row>
    <row r="1528" customFormat="false" ht="12.8" hidden="false" customHeight="false" outlineLevel="0" collapsed="false">
      <c r="I1528" s="0" t="n">
        <v>381.25</v>
      </c>
      <c r="J1528" s="0" t="n">
        <v>464.3</v>
      </c>
      <c r="K1528" s="0" t="n">
        <v>12.1</v>
      </c>
    </row>
    <row r="1529" customFormat="false" ht="12.8" hidden="false" customHeight="false" outlineLevel="0" collapsed="false">
      <c r="I1529" s="0" t="n">
        <v>381.5</v>
      </c>
      <c r="J1529" s="0" t="n">
        <v>467</v>
      </c>
      <c r="K1529" s="0" t="n">
        <v>10.8</v>
      </c>
    </row>
    <row r="1530" customFormat="false" ht="12.8" hidden="false" customHeight="false" outlineLevel="0" collapsed="false">
      <c r="I1530" s="0" t="n">
        <v>381.75</v>
      </c>
      <c r="J1530" s="0" t="n">
        <v>469.1</v>
      </c>
      <c r="K1530" s="0" t="n">
        <v>8.8</v>
      </c>
    </row>
    <row r="1531" customFormat="false" ht="12.8" hidden="false" customHeight="false" outlineLevel="0" collapsed="false">
      <c r="I1531" s="0" t="n">
        <v>382</v>
      </c>
      <c r="J1531" s="0" t="n">
        <v>471.3</v>
      </c>
      <c r="K1531" s="0" t="n">
        <v>8.8</v>
      </c>
    </row>
    <row r="1532" customFormat="false" ht="12.8" hidden="false" customHeight="false" outlineLevel="0" collapsed="false">
      <c r="I1532" s="0" t="n">
        <v>382.25</v>
      </c>
      <c r="J1532" s="0" t="n">
        <v>473.5</v>
      </c>
      <c r="K1532" s="0" t="n">
        <v>8.6</v>
      </c>
    </row>
    <row r="1533" customFormat="false" ht="12.8" hidden="false" customHeight="false" outlineLevel="0" collapsed="false">
      <c r="I1533" s="0" t="n">
        <v>382.5</v>
      </c>
      <c r="J1533" s="0" t="n">
        <v>474.2</v>
      </c>
      <c r="K1533" s="0" t="n">
        <v>2.8</v>
      </c>
    </row>
    <row r="1534" customFormat="false" ht="12.8" hidden="false" customHeight="false" outlineLevel="0" collapsed="false">
      <c r="I1534" s="0" t="n">
        <v>382.75</v>
      </c>
      <c r="J1534" s="0" t="n">
        <v>474.9</v>
      </c>
      <c r="K1534" s="0" t="n">
        <v>2.8</v>
      </c>
    </row>
    <row r="1535" customFormat="false" ht="12.8" hidden="false" customHeight="false" outlineLevel="0" collapsed="false">
      <c r="I1535" s="0" t="n">
        <v>383</v>
      </c>
      <c r="J1535" s="0" t="n">
        <v>475.6</v>
      </c>
      <c r="K1535" s="0" t="n">
        <v>2.8</v>
      </c>
    </row>
    <row r="1536" customFormat="false" ht="12.8" hidden="false" customHeight="false" outlineLevel="0" collapsed="false">
      <c r="I1536" s="0" t="n">
        <v>383.25</v>
      </c>
      <c r="J1536" s="0" t="n">
        <v>476.3</v>
      </c>
      <c r="K1536" s="0" t="n">
        <v>2.8</v>
      </c>
    </row>
    <row r="1537" customFormat="false" ht="12.8" hidden="false" customHeight="false" outlineLevel="0" collapsed="false">
      <c r="I1537" s="0" t="n">
        <v>383.5</v>
      </c>
      <c r="J1537" s="0" t="n">
        <v>477</v>
      </c>
      <c r="K1537" s="0" t="n">
        <v>2.8</v>
      </c>
    </row>
    <row r="1538" customFormat="false" ht="12.8" hidden="false" customHeight="false" outlineLevel="0" collapsed="false">
      <c r="I1538" s="0" t="n">
        <v>383.75</v>
      </c>
      <c r="J1538" s="0" t="n">
        <v>477.7</v>
      </c>
      <c r="K1538" s="0" t="n">
        <v>2.8</v>
      </c>
    </row>
    <row r="1539" customFormat="false" ht="12.8" hidden="false" customHeight="false" outlineLevel="0" collapsed="false">
      <c r="I1539" s="0" t="n">
        <v>384</v>
      </c>
      <c r="J1539" s="0" t="n">
        <v>478.4</v>
      </c>
      <c r="K1539" s="0" t="n">
        <v>2.8</v>
      </c>
    </row>
    <row r="1540" customFormat="false" ht="12.8" hidden="false" customHeight="false" outlineLevel="0" collapsed="false">
      <c r="I1540" s="0" t="n">
        <v>384.25</v>
      </c>
      <c r="J1540" s="0" t="n">
        <v>479.1</v>
      </c>
      <c r="K1540" s="0" t="n">
        <v>2.8</v>
      </c>
    </row>
    <row r="1541" customFormat="false" ht="12.8" hidden="false" customHeight="false" outlineLevel="0" collapsed="false">
      <c r="I1541" s="0" t="n">
        <v>384.5</v>
      </c>
      <c r="J1541" s="0" t="n">
        <v>479.8</v>
      </c>
      <c r="K1541" s="0" t="n">
        <v>2.8</v>
      </c>
    </row>
    <row r="1542" customFormat="false" ht="12.8" hidden="false" customHeight="false" outlineLevel="0" collapsed="false">
      <c r="I1542" s="0" t="n">
        <v>384.75</v>
      </c>
      <c r="J1542" s="0" t="n">
        <v>480.6</v>
      </c>
      <c r="K1542" s="0" t="n">
        <v>2.8</v>
      </c>
    </row>
    <row r="1543" customFormat="false" ht="12.8" hidden="false" customHeight="false" outlineLevel="0" collapsed="false">
      <c r="I1543" s="0" t="n">
        <v>385</v>
      </c>
      <c r="J1543" s="0" t="n">
        <v>481</v>
      </c>
      <c r="K1543" s="0" t="n">
        <v>1.7</v>
      </c>
    </row>
    <row r="1544" customFormat="false" ht="12.8" hidden="false" customHeight="false" outlineLevel="0" collapsed="false">
      <c r="I1544" s="0" t="n">
        <v>385.25</v>
      </c>
      <c r="J1544" s="0" t="n">
        <v>481.3</v>
      </c>
      <c r="K1544" s="0" t="n">
        <v>1.2</v>
      </c>
    </row>
    <row r="1545" customFormat="false" ht="12.8" hidden="false" customHeight="false" outlineLevel="0" collapsed="false">
      <c r="I1545" s="0" t="n">
        <v>385.5</v>
      </c>
      <c r="J1545" s="0" t="n">
        <v>481.6</v>
      </c>
      <c r="K1545" s="0" t="n">
        <v>1.2</v>
      </c>
    </row>
    <row r="1546" customFormat="false" ht="12.8" hidden="false" customHeight="false" outlineLevel="0" collapsed="false">
      <c r="I1546" s="0" t="n">
        <v>385.75</v>
      </c>
      <c r="J1546" s="0" t="n">
        <v>481.9</v>
      </c>
      <c r="K1546" s="0" t="n">
        <v>1.2</v>
      </c>
    </row>
    <row r="1547" customFormat="false" ht="12.8" hidden="false" customHeight="false" outlineLevel="0" collapsed="false">
      <c r="I1547" s="0" t="n">
        <v>386</v>
      </c>
      <c r="J1547" s="0" t="n">
        <v>482.2</v>
      </c>
      <c r="K1547" s="0" t="n">
        <v>1.2</v>
      </c>
    </row>
    <row r="1548" customFormat="false" ht="12.8" hidden="false" customHeight="false" outlineLevel="0" collapsed="false">
      <c r="I1548" s="0" t="n">
        <v>386.25</v>
      </c>
      <c r="J1548" s="0" t="n">
        <v>482.5</v>
      </c>
      <c r="K1548" s="0" t="n">
        <v>1.2</v>
      </c>
    </row>
    <row r="1549" customFormat="false" ht="12.8" hidden="false" customHeight="false" outlineLevel="0" collapsed="false">
      <c r="I1549" s="0" t="n">
        <v>386.5</v>
      </c>
      <c r="J1549" s="0" t="n">
        <v>482.8</v>
      </c>
      <c r="K1549" s="0" t="n">
        <v>1.2</v>
      </c>
    </row>
    <row r="1550" customFormat="false" ht="12.8" hidden="false" customHeight="false" outlineLevel="0" collapsed="false">
      <c r="I1550" s="0" t="n">
        <v>386.75</v>
      </c>
      <c r="J1550" s="0" t="n">
        <v>483.1</v>
      </c>
      <c r="K1550" s="0" t="n">
        <v>1.2</v>
      </c>
    </row>
    <row r="1551" customFormat="false" ht="12.8" hidden="false" customHeight="false" outlineLevel="0" collapsed="false">
      <c r="I1551" s="0" t="n">
        <v>387</v>
      </c>
      <c r="J1551" s="0" t="n">
        <v>483.4</v>
      </c>
      <c r="K1551" s="0" t="n">
        <v>1.2</v>
      </c>
    </row>
    <row r="1552" customFormat="false" ht="12.8" hidden="false" customHeight="false" outlineLevel="0" collapsed="false">
      <c r="I1552" s="0" t="n">
        <v>387.25</v>
      </c>
      <c r="J1552" s="0" t="n">
        <v>483.7</v>
      </c>
      <c r="K1552" s="0" t="n">
        <v>1.2</v>
      </c>
    </row>
    <row r="1553" customFormat="false" ht="12.8" hidden="false" customHeight="false" outlineLevel="0" collapsed="false">
      <c r="I1553" s="0" t="n">
        <v>387.5</v>
      </c>
      <c r="J1553" s="0" t="n">
        <v>484</v>
      </c>
      <c r="K1553" s="0" t="n">
        <v>1.2</v>
      </c>
    </row>
    <row r="1554" customFormat="false" ht="12.8" hidden="false" customHeight="false" outlineLevel="0" collapsed="false">
      <c r="I1554" s="0" t="n">
        <v>387.75</v>
      </c>
      <c r="J1554" s="0" t="n">
        <v>484.3</v>
      </c>
      <c r="K1554" s="0" t="n">
        <v>1.2</v>
      </c>
    </row>
    <row r="1555" customFormat="false" ht="12.8" hidden="false" customHeight="false" outlineLevel="0" collapsed="false">
      <c r="I1555" s="0" t="n">
        <v>388</v>
      </c>
      <c r="J1555" s="0" t="n">
        <v>484.6</v>
      </c>
      <c r="K1555" s="0" t="n">
        <v>1.2</v>
      </c>
    </row>
    <row r="1556" customFormat="false" ht="12.8" hidden="false" customHeight="false" outlineLevel="0" collapsed="false">
      <c r="I1556" s="0" t="n">
        <v>388.25</v>
      </c>
      <c r="J1556" s="0" t="n">
        <v>484.9</v>
      </c>
      <c r="K1556" s="0" t="n">
        <v>1.2</v>
      </c>
    </row>
    <row r="1557" customFormat="false" ht="12.8" hidden="false" customHeight="false" outlineLevel="0" collapsed="false">
      <c r="I1557" s="0" t="n">
        <v>388.5</v>
      </c>
      <c r="J1557" s="0" t="n">
        <v>485.2</v>
      </c>
      <c r="K1557" s="0" t="n">
        <v>1.2</v>
      </c>
    </row>
    <row r="1558" customFormat="false" ht="12.8" hidden="false" customHeight="false" outlineLevel="0" collapsed="false">
      <c r="I1558" s="0" t="n">
        <v>388.75</v>
      </c>
      <c r="J1558" s="0" t="n">
        <v>485.5</v>
      </c>
      <c r="K1558" s="0" t="n">
        <v>1.2</v>
      </c>
    </row>
    <row r="1559" customFormat="false" ht="12.8" hidden="false" customHeight="false" outlineLevel="0" collapsed="false">
      <c r="I1559" s="0" t="n">
        <v>389</v>
      </c>
      <c r="J1559" s="0" t="n">
        <v>485.8</v>
      </c>
      <c r="K1559" s="0" t="n">
        <v>1.2</v>
      </c>
    </row>
    <row r="1560" customFormat="false" ht="12.8" hidden="false" customHeight="false" outlineLevel="0" collapsed="false">
      <c r="I1560" s="0" t="n">
        <v>389.25</v>
      </c>
      <c r="J1560" s="0" t="n">
        <v>486.1</v>
      </c>
      <c r="K1560" s="0" t="n">
        <v>1.2</v>
      </c>
    </row>
    <row r="1561" customFormat="false" ht="12.8" hidden="false" customHeight="false" outlineLevel="0" collapsed="false">
      <c r="I1561" s="0" t="n">
        <v>389.5</v>
      </c>
      <c r="J1561" s="0" t="n">
        <v>486.4</v>
      </c>
      <c r="K1561" s="0" t="n">
        <v>1.2</v>
      </c>
    </row>
    <row r="1562" customFormat="false" ht="12.8" hidden="false" customHeight="false" outlineLevel="0" collapsed="false">
      <c r="I1562" s="0" t="n">
        <v>389.75</v>
      </c>
      <c r="J1562" s="0" t="n">
        <v>486.7</v>
      </c>
      <c r="K1562" s="0" t="n">
        <v>1.2</v>
      </c>
    </row>
    <row r="1563" customFormat="false" ht="12.8" hidden="false" customHeight="false" outlineLevel="0" collapsed="false">
      <c r="I1563" s="0" t="n">
        <v>390</v>
      </c>
      <c r="J1563" s="0" t="n">
        <v>487</v>
      </c>
      <c r="K1563" s="0" t="n">
        <v>1.2</v>
      </c>
    </row>
    <row r="1564" customFormat="false" ht="12.8" hidden="false" customHeight="false" outlineLevel="0" collapsed="false">
      <c r="I1564" s="0" t="n">
        <v>390.25</v>
      </c>
      <c r="J1564" s="0" t="n">
        <v>487.3</v>
      </c>
      <c r="K1564" s="0" t="n">
        <v>1.2</v>
      </c>
    </row>
    <row r="1565" customFormat="false" ht="12.8" hidden="false" customHeight="false" outlineLevel="0" collapsed="false">
      <c r="I1565" s="0" t="n">
        <v>390.5</v>
      </c>
      <c r="J1565" s="0" t="n">
        <v>487.6</v>
      </c>
      <c r="K1565" s="0" t="n">
        <v>1.2</v>
      </c>
    </row>
    <row r="1566" customFormat="false" ht="12.8" hidden="false" customHeight="false" outlineLevel="0" collapsed="false">
      <c r="I1566" s="0" t="n">
        <v>390.75</v>
      </c>
      <c r="J1566" s="0" t="n">
        <v>487.9</v>
      </c>
      <c r="K1566" s="0" t="n">
        <v>1.2</v>
      </c>
    </row>
    <row r="1567" customFormat="false" ht="12.8" hidden="false" customHeight="false" outlineLevel="0" collapsed="false">
      <c r="I1567" s="0" t="n">
        <v>391</v>
      </c>
      <c r="J1567" s="0" t="n">
        <v>488.2</v>
      </c>
      <c r="K1567" s="0" t="n">
        <v>1.2</v>
      </c>
    </row>
    <row r="1568" customFormat="false" ht="12.8" hidden="false" customHeight="false" outlineLevel="0" collapsed="false">
      <c r="I1568" s="0" t="n">
        <v>391.25</v>
      </c>
      <c r="J1568" s="0" t="n">
        <v>488.5</v>
      </c>
      <c r="K1568" s="0" t="n">
        <v>1.1</v>
      </c>
    </row>
    <row r="1569" customFormat="false" ht="12.8" hidden="false" customHeight="false" outlineLevel="0" collapsed="false">
      <c r="I1569" s="0" t="n">
        <v>391.5</v>
      </c>
      <c r="J1569" s="0" t="n">
        <v>488.7</v>
      </c>
      <c r="K1569" s="0" t="n">
        <v>1.1</v>
      </c>
    </row>
    <row r="1570" customFormat="false" ht="12.8" hidden="false" customHeight="false" outlineLevel="0" collapsed="false">
      <c r="I1570" s="0" t="n">
        <v>391.75</v>
      </c>
      <c r="J1570" s="0" t="n">
        <v>489</v>
      </c>
      <c r="K1570" s="0" t="n">
        <v>1.1</v>
      </c>
    </row>
    <row r="1571" customFormat="false" ht="12.8" hidden="false" customHeight="false" outlineLevel="0" collapsed="false">
      <c r="I1571" s="0" t="n">
        <v>392</v>
      </c>
      <c r="J1571" s="0" t="n">
        <v>489.3</v>
      </c>
      <c r="K1571" s="0" t="n">
        <v>1.1</v>
      </c>
    </row>
    <row r="1572" customFormat="false" ht="12.8" hidden="false" customHeight="false" outlineLevel="0" collapsed="false">
      <c r="I1572" s="0" t="n">
        <v>392.25</v>
      </c>
      <c r="J1572" s="0" t="n">
        <v>489.5</v>
      </c>
      <c r="K1572" s="0" t="n">
        <v>1.1</v>
      </c>
    </row>
    <row r="1573" customFormat="false" ht="12.8" hidden="false" customHeight="false" outlineLevel="0" collapsed="false">
      <c r="I1573" s="0" t="n">
        <v>392.5</v>
      </c>
      <c r="J1573" s="0" t="n">
        <v>489.8</v>
      </c>
      <c r="K1573" s="0" t="n">
        <v>1.1</v>
      </c>
    </row>
    <row r="1574" customFormat="false" ht="12.8" hidden="false" customHeight="false" outlineLevel="0" collapsed="false">
      <c r="I1574" s="0" t="n">
        <v>392.75</v>
      </c>
      <c r="J1574" s="0" t="n">
        <v>490.1</v>
      </c>
      <c r="K1574" s="0" t="n">
        <v>1.1</v>
      </c>
    </row>
    <row r="1575" customFormat="false" ht="12.8" hidden="false" customHeight="false" outlineLevel="0" collapsed="false">
      <c r="I1575" s="0" t="n">
        <v>393</v>
      </c>
      <c r="J1575" s="0" t="n">
        <v>490.3</v>
      </c>
      <c r="K1575" s="0" t="n">
        <v>1.1</v>
      </c>
    </row>
    <row r="1576" customFormat="false" ht="12.8" hidden="false" customHeight="false" outlineLevel="0" collapsed="false">
      <c r="I1576" s="0" t="n">
        <v>393.25</v>
      </c>
      <c r="J1576" s="0" t="n">
        <v>490.6</v>
      </c>
      <c r="K1576" s="0" t="n">
        <v>1.1</v>
      </c>
    </row>
    <row r="1577" customFormat="false" ht="12.8" hidden="false" customHeight="false" outlineLevel="0" collapsed="false">
      <c r="I1577" s="0" t="n">
        <v>393.5</v>
      </c>
      <c r="J1577" s="0" t="n">
        <v>490.9</v>
      </c>
      <c r="K1577" s="0" t="n">
        <v>1.1</v>
      </c>
    </row>
    <row r="1578" customFormat="false" ht="12.8" hidden="false" customHeight="false" outlineLevel="0" collapsed="false">
      <c r="I1578" s="0" t="n">
        <v>393.75</v>
      </c>
      <c r="J1578" s="0" t="n">
        <v>491.2</v>
      </c>
      <c r="K1578" s="0" t="n">
        <v>1.1</v>
      </c>
    </row>
    <row r="1579" customFormat="false" ht="12.8" hidden="false" customHeight="false" outlineLevel="0" collapsed="false">
      <c r="I1579" s="0" t="n">
        <v>394</v>
      </c>
      <c r="J1579" s="0" t="n">
        <v>491.4</v>
      </c>
      <c r="K1579" s="0" t="n">
        <v>1.1</v>
      </c>
    </row>
    <row r="1580" customFormat="false" ht="12.8" hidden="false" customHeight="false" outlineLevel="0" collapsed="false">
      <c r="I1580" s="0" t="n">
        <v>394.25</v>
      </c>
      <c r="J1580" s="0" t="n">
        <v>491.7</v>
      </c>
      <c r="K1580" s="0" t="n">
        <v>1.1</v>
      </c>
    </row>
    <row r="1581" customFormat="false" ht="12.8" hidden="false" customHeight="false" outlineLevel="0" collapsed="false">
      <c r="I1581" s="0" t="n">
        <v>394.5</v>
      </c>
      <c r="J1581" s="0" t="n">
        <v>492</v>
      </c>
      <c r="K1581" s="0" t="n">
        <v>1.1</v>
      </c>
    </row>
    <row r="1582" customFormat="false" ht="12.8" hidden="false" customHeight="false" outlineLevel="0" collapsed="false">
      <c r="I1582" s="0" t="n">
        <v>394.75</v>
      </c>
      <c r="J1582" s="0" t="n">
        <v>492.2</v>
      </c>
      <c r="K1582" s="0" t="n">
        <v>1.1</v>
      </c>
    </row>
    <row r="1583" customFormat="false" ht="12.8" hidden="false" customHeight="false" outlineLevel="0" collapsed="false">
      <c r="I1583" s="0" t="n">
        <v>395</v>
      </c>
      <c r="J1583" s="0" t="n">
        <v>492.5</v>
      </c>
      <c r="K1583" s="0" t="n">
        <v>1.1</v>
      </c>
    </row>
    <row r="1584" customFormat="false" ht="12.8" hidden="false" customHeight="false" outlineLevel="0" collapsed="false">
      <c r="I1584" s="0" t="n">
        <v>395.25</v>
      </c>
      <c r="J1584" s="0" t="n">
        <v>492.8</v>
      </c>
      <c r="K1584" s="0" t="n">
        <v>1.1</v>
      </c>
    </row>
    <row r="1585" customFormat="false" ht="12.8" hidden="false" customHeight="false" outlineLevel="0" collapsed="false">
      <c r="I1585" s="0" t="n">
        <v>395.5</v>
      </c>
      <c r="J1585" s="0" t="n">
        <v>493</v>
      </c>
      <c r="K1585" s="0" t="n">
        <v>1.1</v>
      </c>
    </row>
    <row r="1586" customFormat="false" ht="12.8" hidden="false" customHeight="false" outlineLevel="0" collapsed="false">
      <c r="I1586" s="0" t="n">
        <v>395.75</v>
      </c>
      <c r="J1586" s="0" t="n">
        <v>493.3</v>
      </c>
      <c r="K1586" s="0" t="n">
        <v>1.1</v>
      </c>
    </row>
    <row r="1587" customFormat="false" ht="12.8" hidden="false" customHeight="false" outlineLevel="0" collapsed="false">
      <c r="I1587" s="0" t="n">
        <v>396</v>
      </c>
      <c r="J1587" s="0" t="n">
        <v>493.6</v>
      </c>
      <c r="K1587" s="0" t="n">
        <v>1.1</v>
      </c>
    </row>
    <row r="1588" customFormat="false" ht="12.8" hidden="false" customHeight="false" outlineLevel="0" collapsed="false">
      <c r="I1588" s="0" t="n">
        <v>396.25</v>
      </c>
      <c r="J1588" s="0" t="n">
        <v>493.9</v>
      </c>
      <c r="K1588" s="0" t="n">
        <v>1.1</v>
      </c>
    </row>
    <row r="1589" customFormat="false" ht="12.8" hidden="false" customHeight="false" outlineLevel="0" collapsed="false">
      <c r="I1589" s="0" t="n">
        <v>396.5</v>
      </c>
      <c r="J1589" s="0" t="n">
        <v>494.1</v>
      </c>
      <c r="K1589" s="0" t="n">
        <v>1.1</v>
      </c>
    </row>
    <row r="1590" customFormat="false" ht="12.8" hidden="false" customHeight="false" outlineLevel="0" collapsed="false">
      <c r="I1590" s="0" t="n">
        <v>396.75</v>
      </c>
      <c r="J1590" s="0" t="n">
        <v>494.4</v>
      </c>
      <c r="K1590" s="0" t="n">
        <v>1.1</v>
      </c>
    </row>
    <row r="1591" customFormat="false" ht="12.8" hidden="false" customHeight="false" outlineLevel="0" collapsed="false">
      <c r="I1591" s="0" t="n">
        <v>397</v>
      </c>
      <c r="J1591" s="0" t="n">
        <v>494.7</v>
      </c>
      <c r="K1591" s="0" t="n">
        <v>1.1</v>
      </c>
    </row>
    <row r="1592" customFormat="false" ht="12.8" hidden="false" customHeight="false" outlineLevel="0" collapsed="false">
      <c r="I1592" s="0" t="n">
        <v>397.25</v>
      </c>
      <c r="J1592" s="0" t="n">
        <v>494.9</v>
      </c>
      <c r="K1592" s="0" t="n">
        <v>1.1</v>
      </c>
    </row>
    <row r="1593" customFormat="false" ht="12.8" hidden="false" customHeight="false" outlineLevel="0" collapsed="false">
      <c r="I1593" s="0" t="n">
        <v>397.5</v>
      </c>
      <c r="J1593" s="0" t="n">
        <v>495.2</v>
      </c>
      <c r="K1593" s="0" t="n">
        <v>1.1</v>
      </c>
    </row>
    <row r="1594" customFormat="false" ht="12.8" hidden="false" customHeight="false" outlineLevel="0" collapsed="false">
      <c r="I1594" s="0" t="n">
        <v>397.75</v>
      </c>
      <c r="J1594" s="0" t="n">
        <v>495.5</v>
      </c>
      <c r="K1594" s="0" t="n">
        <v>1.1</v>
      </c>
    </row>
    <row r="1595" customFormat="false" ht="12.8" hidden="false" customHeight="false" outlineLevel="0" collapsed="false">
      <c r="I1595" s="0" t="n">
        <v>398</v>
      </c>
      <c r="J1595" s="0" t="n">
        <v>495.8</v>
      </c>
      <c r="K1595" s="0" t="n">
        <v>1.2</v>
      </c>
    </row>
    <row r="1596" customFormat="false" ht="12.8" hidden="false" customHeight="false" outlineLevel="0" collapsed="false">
      <c r="I1596" s="0" t="n">
        <v>398.25</v>
      </c>
      <c r="J1596" s="0" t="n">
        <v>496.1</v>
      </c>
      <c r="K1596" s="0" t="n">
        <v>1.2</v>
      </c>
    </row>
    <row r="1597" customFormat="false" ht="12.8" hidden="false" customHeight="false" outlineLevel="0" collapsed="false">
      <c r="I1597" s="0" t="n">
        <v>398.5</v>
      </c>
      <c r="J1597" s="0" t="n">
        <v>496.4</v>
      </c>
      <c r="K1597" s="0" t="n">
        <v>1.2</v>
      </c>
    </row>
    <row r="1598" customFormat="false" ht="12.8" hidden="false" customHeight="false" outlineLevel="0" collapsed="false">
      <c r="I1598" s="0" t="n">
        <v>398.75</v>
      </c>
      <c r="J1598" s="0" t="n">
        <v>496.7</v>
      </c>
      <c r="K1598" s="0" t="n">
        <v>1.2</v>
      </c>
    </row>
    <row r="1599" customFormat="false" ht="12.8" hidden="false" customHeight="false" outlineLevel="0" collapsed="false">
      <c r="I1599" s="0" t="n">
        <v>399</v>
      </c>
      <c r="J1599" s="0" t="n">
        <v>497</v>
      </c>
      <c r="K1599" s="0" t="n">
        <v>1.2</v>
      </c>
    </row>
    <row r="1600" customFormat="false" ht="12.8" hidden="false" customHeight="false" outlineLevel="0" collapsed="false">
      <c r="I1600" s="0" t="n">
        <v>399.25</v>
      </c>
      <c r="J1600" s="0" t="n">
        <v>497.3</v>
      </c>
      <c r="K1600" s="0" t="n">
        <v>1.2</v>
      </c>
    </row>
    <row r="1601" customFormat="false" ht="12.8" hidden="false" customHeight="false" outlineLevel="0" collapsed="false">
      <c r="I1601" s="0" t="n">
        <v>399.5</v>
      </c>
      <c r="J1601" s="0" t="n">
        <v>497.6</v>
      </c>
      <c r="K1601" s="0" t="n">
        <v>1.2</v>
      </c>
    </row>
    <row r="1602" customFormat="false" ht="12.8" hidden="false" customHeight="false" outlineLevel="0" collapsed="false">
      <c r="I1602" s="0" t="n">
        <v>399.75</v>
      </c>
      <c r="J1602" s="0" t="n">
        <v>497.9</v>
      </c>
      <c r="K1602" s="0" t="n">
        <v>1.2</v>
      </c>
    </row>
    <row r="1603" customFormat="false" ht="12.8" hidden="false" customHeight="false" outlineLevel="0" collapsed="false">
      <c r="I1603" s="0" t="n">
        <v>400</v>
      </c>
      <c r="J1603" s="0" t="n">
        <v>498.3</v>
      </c>
      <c r="K1603" s="0" t="n">
        <v>1.2</v>
      </c>
    </row>
    <row r="1604" customFormat="false" ht="12.8" hidden="false" customHeight="false" outlineLevel="0" collapsed="false">
      <c r="I1604" s="0" t="n">
        <v>400.25</v>
      </c>
      <c r="J1604" s="0" t="n">
        <v>498.6</v>
      </c>
      <c r="K1604" s="0" t="n">
        <v>1.2</v>
      </c>
    </row>
    <row r="1605" customFormat="false" ht="12.8" hidden="false" customHeight="false" outlineLevel="0" collapsed="false">
      <c r="I1605" s="0" t="n">
        <v>400.5</v>
      </c>
      <c r="J1605" s="0" t="n">
        <v>498.9</v>
      </c>
      <c r="K1605" s="0" t="n">
        <v>1.2</v>
      </c>
    </row>
    <row r="1606" customFormat="false" ht="12.8" hidden="false" customHeight="false" outlineLevel="0" collapsed="false">
      <c r="I1606" s="0" t="n">
        <v>400.75</v>
      </c>
      <c r="J1606" s="0" t="n">
        <v>499.2</v>
      </c>
      <c r="K1606" s="0" t="n">
        <v>1.2</v>
      </c>
    </row>
    <row r="1607" customFormat="false" ht="12.8" hidden="false" customHeight="false" outlineLevel="0" collapsed="false">
      <c r="I1607" s="0" t="n">
        <v>401</v>
      </c>
      <c r="J1607" s="0" t="n">
        <v>499.5</v>
      </c>
      <c r="K1607" s="0" t="n">
        <v>1.2</v>
      </c>
    </row>
    <row r="1608" customFormat="false" ht="12.8" hidden="false" customHeight="false" outlineLevel="0" collapsed="false">
      <c r="I1608" s="0" t="n">
        <v>401.25</v>
      </c>
      <c r="J1608" s="0" t="n">
        <v>499.8</v>
      </c>
      <c r="K1608" s="0" t="n">
        <v>1.2</v>
      </c>
    </row>
    <row r="1609" customFormat="false" ht="12.8" hidden="false" customHeight="false" outlineLevel="0" collapsed="false">
      <c r="I1609" s="0" t="n">
        <v>401.5</v>
      </c>
      <c r="J1609" s="0" t="n">
        <v>500.1</v>
      </c>
      <c r="K1609" s="0" t="n">
        <v>1.2</v>
      </c>
    </row>
    <row r="1610" customFormat="false" ht="12.8" hidden="false" customHeight="false" outlineLevel="0" collapsed="false">
      <c r="I1610" s="0" t="n">
        <v>401.75</v>
      </c>
      <c r="J1610" s="0" t="n">
        <v>500.4</v>
      </c>
      <c r="K1610" s="0" t="n">
        <v>1.2</v>
      </c>
    </row>
    <row r="1611" customFormat="false" ht="12.8" hidden="false" customHeight="false" outlineLevel="0" collapsed="false">
      <c r="I1611" s="0" t="n">
        <v>402</v>
      </c>
      <c r="J1611" s="0" t="n">
        <v>500.7</v>
      </c>
      <c r="K1611" s="0" t="n">
        <v>1.2</v>
      </c>
    </row>
    <row r="1612" customFormat="false" ht="12.8" hidden="false" customHeight="false" outlineLevel="0" collapsed="false">
      <c r="I1612" s="0" t="n">
        <v>402.25</v>
      </c>
      <c r="J1612" s="0" t="n">
        <v>501</v>
      </c>
      <c r="K1612" s="0" t="n">
        <v>1.2</v>
      </c>
    </row>
    <row r="1613" customFormat="false" ht="12.8" hidden="false" customHeight="false" outlineLevel="0" collapsed="false">
      <c r="I1613" s="0" t="n">
        <v>402.5</v>
      </c>
      <c r="J1613" s="0" t="n">
        <v>501.3</v>
      </c>
      <c r="K1613" s="0" t="n">
        <v>1.2</v>
      </c>
    </row>
    <row r="1614" customFormat="false" ht="12.8" hidden="false" customHeight="false" outlineLevel="0" collapsed="false">
      <c r="I1614" s="0" t="n">
        <v>402.75</v>
      </c>
      <c r="J1614" s="0" t="n">
        <v>501.6</v>
      </c>
      <c r="K1614" s="0" t="n">
        <v>1.2</v>
      </c>
    </row>
    <row r="1615" customFormat="false" ht="12.8" hidden="false" customHeight="false" outlineLevel="0" collapsed="false">
      <c r="I1615" s="0" t="n">
        <v>403</v>
      </c>
      <c r="J1615" s="0" t="n">
        <v>502</v>
      </c>
      <c r="K1615" s="0" t="n">
        <v>1.2</v>
      </c>
    </row>
    <row r="1616" customFormat="false" ht="12.8" hidden="false" customHeight="false" outlineLevel="0" collapsed="false">
      <c r="I1616" s="0" t="n">
        <v>403.25</v>
      </c>
      <c r="J1616" s="0" t="n">
        <v>502.3</v>
      </c>
      <c r="K1616" s="0" t="n">
        <v>1.2</v>
      </c>
    </row>
    <row r="1617" customFormat="false" ht="12.8" hidden="false" customHeight="false" outlineLevel="0" collapsed="false">
      <c r="I1617" s="0" t="n">
        <v>403.5</v>
      </c>
      <c r="J1617" s="0" t="n">
        <v>502.6</v>
      </c>
      <c r="K1617" s="0" t="n">
        <v>1.2</v>
      </c>
    </row>
    <row r="1618" customFormat="false" ht="12.8" hidden="false" customHeight="false" outlineLevel="0" collapsed="false">
      <c r="I1618" s="0" t="n">
        <v>403.75</v>
      </c>
      <c r="J1618" s="0" t="n">
        <v>502.9</v>
      </c>
      <c r="K1618" s="0" t="n">
        <v>1.2</v>
      </c>
    </row>
    <row r="1619" customFormat="false" ht="12.8" hidden="false" customHeight="false" outlineLevel="0" collapsed="false">
      <c r="I1619" s="0" t="n">
        <v>404</v>
      </c>
      <c r="J1619" s="0" t="n">
        <v>504</v>
      </c>
      <c r="K1619" s="0" t="n">
        <v>4.3</v>
      </c>
    </row>
    <row r="1620" customFormat="false" ht="12.8" hidden="false" customHeight="false" outlineLevel="0" collapsed="false">
      <c r="I1620" s="0" t="n">
        <v>404.25</v>
      </c>
      <c r="J1620" s="0" t="n">
        <v>505.1</v>
      </c>
      <c r="K1620" s="0" t="n">
        <v>4.6</v>
      </c>
    </row>
    <row r="1621" customFormat="false" ht="12.8" hidden="false" customHeight="false" outlineLevel="0" collapsed="false">
      <c r="I1621" s="0" t="n">
        <v>404.5</v>
      </c>
      <c r="J1621" s="0" t="n">
        <v>506.2</v>
      </c>
      <c r="K1621" s="0" t="n">
        <v>4.6</v>
      </c>
    </row>
    <row r="1622" customFormat="false" ht="12.8" hidden="false" customHeight="false" outlineLevel="0" collapsed="false">
      <c r="I1622" s="0" t="n">
        <v>404.75</v>
      </c>
      <c r="J1622" s="0" t="n">
        <v>507.4</v>
      </c>
      <c r="K1622" s="0" t="n">
        <v>4.6</v>
      </c>
    </row>
    <row r="1623" customFormat="false" ht="12.8" hidden="false" customHeight="false" outlineLevel="0" collapsed="false">
      <c r="I1623" s="0" t="n">
        <v>405</v>
      </c>
      <c r="J1623" s="0" t="n">
        <v>508.5</v>
      </c>
      <c r="K1623" s="0" t="n">
        <v>4.6</v>
      </c>
    </row>
    <row r="1624" customFormat="false" ht="12.8" hidden="false" customHeight="false" outlineLevel="0" collapsed="false">
      <c r="I1624" s="0" t="n">
        <v>405.25</v>
      </c>
      <c r="J1624" s="0" t="n">
        <v>509.7</v>
      </c>
      <c r="K1624" s="0" t="n">
        <v>4.6</v>
      </c>
    </row>
    <row r="1625" customFormat="false" ht="12.8" hidden="false" customHeight="false" outlineLevel="0" collapsed="false">
      <c r="I1625" s="0" t="n">
        <v>405.5</v>
      </c>
      <c r="J1625" s="0" t="n">
        <v>511.9</v>
      </c>
      <c r="K1625" s="0" t="n">
        <v>8.8</v>
      </c>
    </row>
    <row r="1626" customFormat="false" ht="12.8" hidden="false" customHeight="false" outlineLevel="0" collapsed="false">
      <c r="I1626" s="0" t="n">
        <v>405.75</v>
      </c>
      <c r="J1626" s="0" t="n">
        <v>515.5</v>
      </c>
      <c r="K1626" s="0" t="n">
        <v>14.5</v>
      </c>
    </row>
    <row r="1627" customFormat="false" ht="12.8" hidden="false" customHeight="false" outlineLevel="0" collapsed="false">
      <c r="I1627" s="0" t="n">
        <v>406</v>
      </c>
      <c r="J1627" s="0" t="n">
        <v>518</v>
      </c>
      <c r="K1627" s="0" t="n">
        <v>9.9</v>
      </c>
    </row>
    <row r="1628" customFormat="false" ht="12.8" hidden="false" customHeight="false" outlineLevel="0" collapsed="false">
      <c r="I1628" s="0" t="n">
        <v>406.25</v>
      </c>
      <c r="J1628" s="0" t="n">
        <v>518.6</v>
      </c>
      <c r="K1628" s="0" t="n">
        <v>2.5</v>
      </c>
    </row>
    <row r="1629" customFormat="false" ht="12.8" hidden="false" customHeight="false" outlineLevel="0" collapsed="false">
      <c r="I1629" s="0" t="n">
        <v>406.5</v>
      </c>
      <c r="J1629" s="0" t="n">
        <v>519.2</v>
      </c>
      <c r="K1629" s="0" t="n">
        <v>2.5</v>
      </c>
    </row>
    <row r="1630" customFormat="false" ht="12.8" hidden="false" customHeight="false" outlineLevel="0" collapsed="false">
      <c r="I1630" s="0" t="n">
        <v>406.75</v>
      </c>
      <c r="J1630" s="0" t="n">
        <v>519.8</v>
      </c>
      <c r="K1630" s="0" t="n">
        <v>2.5</v>
      </c>
    </row>
    <row r="1631" customFormat="false" ht="12.8" hidden="false" customHeight="false" outlineLevel="0" collapsed="false">
      <c r="I1631" s="0" t="n">
        <v>407</v>
      </c>
      <c r="J1631" s="0" t="n">
        <v>520.4</v>
      </c>
      <c r="K1631" s="0" t="n">
        <v>2.5</v>
      </c>
    </row>
    <row r="1632" customFormat="false" ht="12.8" hidden="false" customHeight="false" outlineLevel="0" collapsed="false">
      <c r="I1632" s="0" t="n">
        <v>407.25</v>
      </c>
      <c r="J1632" s="0" t="n">
        <v>521</v>
      </c>
      <c r="K1632" s="0" t="n">
        <v>2.5</v>
      </c>
    </row>
    <row r="1633" customFormat="false" ht="12.8" hidden="false" customHeight="false" outlineLevel="0" collapsed="false">
      <c r="I1633" s="0" t="n">
        <v>407.5</v>
      </c>
      <c r="J1633" s="0" t="n">
        <v>521.7</v>
      </c>
      <c r="K1633" s="0" t="n">
        <v>2.5</v>
      </c>
    </row>
    <row r="1634" customFormat="false" ht="12.8" hidden="false" customHeight="false" outlineLevel="0" collapsed="false">
      <c r="I1634" s="0" t="n">
        <v>407.75</v>
      </c>
      <c r="J1634" s="0" t="n">
        <v>522.3</v>
      </c>
      <c r="K1634" s="0" t="n">
        <v>2.5</v>
      </c>
    </row>
    <row r="1635" customFormat="false" ht="12.8" hidden="false" customHeight="false" outlineLevel="0" collapsed="false">
      <c r="I1635" s="0" t="n">
        <v>408</v>
      </c>
      <c r="J1635" s="0" t="n">
        <v>522.9</v>
      </c>
      <c r="K1635" s="0" t="n">
        <v>2.5</v>
      </c>
    </row>
    <row r="1636" customFormat="false" ht="12.8" hidden="false" customHeight="false" outlineLevel="0" collapsed="false">
      <c r="I1636" s="0" t="n">
        <v>408.25</v>
      </c>
      <c r="J1636" s="0" t="n">
        <v>523.5</v>
      </c>
      <c r="K1636" s="0" t="n">
        <v>2.5</v>
      </c>
    </row>
    <row r="1637" customFormat="false" ht="12.8" hidden="false" customHeight="false" outlineLevel="0" collapsed="false">
      <c r="I1637" s="0" t="n">
        <v>408.5</v>
      </c>
      <c r="J1637" s="0" t="n">
        <v>524.1</v>
      </c>
      <c r="K1637" s="0" t="n">
        <v>2.5</v>
      </c>
    </row>
    <row r="1638" customFormat="false" ht="12.8" hidden="false" customHeight="false" outlineLevel="0" collapsed="false">
      <c r="I1638" s="0" t="n">
        <v>408.75</v>
      </c>
      <c r="J1638" s="0" t="n">
        <v>524.7</v>
      </c>
      <c r="K1638" s="0" t="n">
        <v>2.5</v>
      </c>
    </row>
    <row r="1639" customFormat="false" ht="12.8" hidden="false" customHeight="false" outlineLevel="0" collapsed="false">
      <c r="I1639" s="0" t="n">
        <v>409</v>
      </c>
      <c r="J1639" s="0" t="n">
        <v>525.3</v>
      </c>
      <c r="K1639" s="0" t="n">
        <v>2.1</v>
      </c>
    </row>
    <row r="1640" customFormat="false" ht="12.8" hidden="false" customHeight="false" outlineLevel="0" collapsed="false">
      <c r="I1640" s="0" t="n">
        <v>409.25</v>
      </c>
      <c r="J1640" s="0" t="n">
        <v>525.6</v>
      </c>
      <c r="K1640" s="0" t="n">
        <v>1.5</v>
      </c>
    </row>
    <row r="1641" customFormat="false" ht="12.8" hidden="false" customHeight="false" outlineLevel="0" collapsed="false">
      <c r="I1641" s="0" t="n">
        <v>409.5</v>
      </c>
      <c r="J1641" s="0" t="n">
        <v>526</v>
      </c>
      <c r="K1641" s="0" t="n">
        <v>1.5</v>
      </c>
    </row>
    <row r="1642" customFormat="false" ht="12.8" hidden="false" customHeight="false" outlineLevel="0" collapsed="false">
      <c r="I1642" s="0" t="n">
        <v>409.75</v>
      </c>
      <c r="J1642" s="0" t="n">
        <v>526.4</v>
      </c>
      <c r="K1642" s="0" t="n">
        <v>1.5</v>
      </c>
    </row>
    <row r="1643" customFormat="false" ht="12.8" hidden="false" customHeight="false" outlineLevel="0" collapsed="false">
      <c r="I1643" s="0" t="n">
        <v>410</v>
      </c>
      <c r="J1643" s="0" t="n">
        <v>526.8</v>
      </c>
      <c r="K1643" s="0" t="n">
        <v>1.5</v>
      </c>
    </row>
    <row r="1644" customFormat="false" ht="12.8" hidden="false" customHeight="false" outlineLevel="0" collapsed="false">
      <c r="I1644" s="0" t="n">
        <v>410.25</v>
      </c>
      <c r="J1644" s="0" t="n">
        <v>527.1</v>
      </c>
      <c r="K1644" s="0" t="n">
        <v>1.5</v>
      </c>
    </row>
    <row r="1645" customFormat="false" ht="12.8" hidden="false" customHeight="false" outlineLevel="0" collapsed="false">
      <c r="I1645" s="0" t="n">
        <v>410.5</v>
      </c>
      <c r="J1645" s="0" t="n">
        <v>527.5</v>
      </c>
      <c r="K1645" s="0" t="n">
        <v>1.5</v>
      </c>
    </row>
    <row r="1646" customFormat="false" ht="12.8" hidden="false" customHeight="false" outlineLevel="0" collapsed="false">
      <c r="I1646" s="0" t="n">
        <v>410.75</v>
      </c>
      <c r="J1646" s="0" t="n">
        <v>527.9</v>
      </c>
      <c r="K1646" s="0" t="n">
        <v>1.5</v>
      </c>
    </row>
    <row r="1647" customFormat="false" ht="12.8" hidden="false" customHeight="false" outlineLevel="0" collapsed="false">
      <c r="I1647" s="0" t="n">
        <v>411</v>
      </c>
      <c r="J1647" s="0" t="n">
        <v>528.3</v>
      </c>
      <c r="K1647" s="0" t="n">
        <v>1.5</v>
      </c>
    </row>
    <row r="1648" customFormat="false" ht="12.8" hidden="false" customHeight="false" outlineLevel="0" collapsed="false">
      <c r="I1648" s="0" t="n">
        <v>411.25</v>
      </c>
      <c r="J1648" s="0" t="n">
        <v>528.7</v>
      </c>
      <c r="K1648" s="0" t="n">
        <v>1.5</v>
      </c>
    </row>
    <row r="1649" customFormat="false" ht="12.8" hidden="false" customHeight="false" outlineLevel="0" collapsed="false">
      <c r="I1649" s="0" t="n">
        <v>411.5</v>
      </c>
      <c r="J1649" s="0" t="n">
        <v>529</v>
      </c>
      <c r="K1649" s="0" t="n">
        <v>1.5</v>
      </c>
    </row>
    <row r="1650" customFormat="false" ht="12.8" hidden="false" customHeight="false" outlineLevel="0" collapsed="false">
      <c r="I1650" s="0" t="n">
        <v>411.75</v>
      </c>
      <c r="J1650" s="0" t="n">
        <v>529.4</v>
      </c>
      <c r="K1650" s="0" t="n">
        <v>1.5</v>
      </c>
    </row>
    <row r="1651" customFormat="false" ht="12.8" hidden="false" customHeight="false" outlineLevel="0" collapsed="false">
      <c r="I1651" s="0" t="n">
        <v>412</v>
      </c>
      <c r="J1651" s="0" t="n">
        <v>529.8</v>
      </c>
      <c r="K1651" s="0" t="n">
        <v>1.5</v>
      </c>
    </row>
    <row r="1652" customFormat="false" ht="12.8" hidden="false" customHeight="false" outlineLevel="0" collapsed="false">
      <c r="I1652" s="0" t="n">
        <v>412.25</v>
      </c>
      <c r="J1652" s="0" t="n">
        <v>530.2</v>
      </c>
      <c r="K1652" s="0" t="n">
        <v>1.5</v>
      </c>
    </row>
    <row r="1653" customFormat="false" ht="12.8" hidden="false" customHeight="false" outlineLevel="0" collapsed="false">
      <c r="I1653" s="0" t="n">
        <v>412.5</v>
      </c>
      <c r="J1653" s="0" t="n">
        <v>530.5</v>
      </c>
      <c r="K1653" s="0" t="n">
        <v>1.5</v>
      </c>
    </row>
    <row r="1654" customFormat="false" ht="12.8" hidden="false" customHeight="false" outlineLevel="0" collapsed="false">
      <c r="I1654" s="0" t="n">
        <v>412.75</v>
      </c>
      <c r="J1654" s="0" t="n">
        <v>530.9</v>
      </c>
      <c r="K1654" s="0" t="n">
        <v>1.5</v>
      </c>
    </row>
    <row r="1655" customFormat="false" ht="12.8" hidden="false" customHeight="false" outlineLevel="0" collapsed="false">
      <c r="I1655" s="0" t="n">
        <v>413</v>
      </c>
      <c r="J1655" s="0" t="n">
        <v>531.3</v>
      </c>
      <c r="K1655" s="0" t="n">
        <v>1.5</v>
      </c>
    </row>
    <row r="1656" customFormat="false" ht="12.8" hidden="false" customHeight="false" outlineLevel="0" collapsed="false">
      <c r="I1656" s="0" t="n">
        <v>413.25</v>
      </c>
      <c r="J1656" s="0" t="n">
        <v>531.7</v>
      </c>
      <c r="K1656" s="0" t="n">
        <v>1.5</v>
      </c>
    </row>
    <row r="1657" customFormat="false" ht="12.8" hidden="false" customHeight="false" outlineLevel="0" collapsed="false">
      <c r="I1657" s="0" t="n">
        <v>413.5</v>
      </c>
      <c r="J1657" s="0" t="n">
        <v>532</v>
      </c>
      <c r="K1657" s="0" t="n">
        <v>1.5</v>
      </c>
    </row>
    <row r="1658" customFormat="false" ht="12.8" hidden="false" customHeight="false" outlineLevel="0" collapsed="false">
      <c r="I1658" s="0" t="n">
        <v>413.75</v>
      </c>
      <c r="J1658" s="0" t="n">
        <v>532.4</v>
      </c>
      <c r="K1658" s="0" t="n">
        <v>1.5</v>
      </c>
    </row>
    <row r="1659" customFormat="false" ht="12.8" hidden="false" customHeight="false" outlineLevel="0" collapsed="false">
      <c r="I1659" s="0" t="n">
        <v>414</v>
      </c>
      <c r="J1659" s="0" t="n">
        <v>532.7</v>
      </c>
      <c r="K1659" s="0" t="n">
        <v>1.1</v>
      </c>
    </row>
    <row r="1660" customFormat="false" ht="12.8" hidden="false" customHeight="false" outlineLevel="0" collapsed="false">
      <c r="I1660" s="0" t="n">
        <v>414.25</v>
      </c>
      <c r="J1660" s="0" t="n">
        <v>532.9</v>
      </c>
      <c r="K1660" s="0" t="n">
        <v>0.9</v>
      </c>
    </row>
    <row r="1661" customFormat="false" ht="12.8" hidden="false" customHeight="false" outlineLevel="0" collapsed="false">
      <c r="I1661" s="0" t="n">
        <v>414.5</v>
      </c>
      <c r="J1661" s="0" t="n">
        <v>533.2</v>
      </c>
      <c r="K1661" s="0" t="n">
        <v>0.9</v>
      </c>
    </row>
    <row r="1662" customFormat="false" ht="12.8" hidden="false" customHeight="false" outlineLevel="0" collapsed="false">
      <c r="I1662" s="0" t="n">
        <v>414.75</v>
      </c>
      <c r="J1662" s="0" t="n">
        <v>533.4</v>
      </c>
      <c r="K1662" s="0" t="n">
        <v>0.9</v>
      </c>
    </row>
    <row r="1663" customFormat="false" ht="12.8" hidden="false" customHeight="false" outlineLevel="0" collapsed="false">
      <c r="I1663" s="0" t="n">
        <v>415</v>
      </c>
      <c r="J1663" s="0" t="n">
        <v>533.6</v>
      </c>
      <c r="K1663" s="0" t="n">
        <v>0.9</v>
      </c>
    </row>
    <row r="1664" customFormat="false" ht="12.8" hidden="false" customHeight="false" outlineLevel="0" collapsed="false">
      <c r="I1664" s="0" t="n">
        <v>415.25</v>
      </c>
      <c r="J1664" s="0" t="n">
        <v>533.8</v>
      </c>
      <c r="K1664" s="0" t="n">
        <v>0.9</v>
      </c>
    </row>
    <row r="1665" customFormat="false" ht="12.8" hidden="false" customHeight="false" outlineLevel="0" collapsed="false">
      <c r="I1665" s="0" t="n">
        <v>415.5</v>
      </c>
      <c r="J1665" s="0" t="n">
        <v>534.1</v>
      </c>
      <c r="K1665" s="0" t="n">
        <v>0.9</v>
      </c>
    </row>
    <row r="1666" customFormat="false" ht="12.8" hidden="false" customHeight="false" outlineLevel="0" collapsed="false">
      <c r="I1666" s="0" t="n">
        <v>415.75</v>
      </c>
      <c r="J1666" s="0" t="n">
        <v>534.3</v>
      </c>
      <c r="K1666" s="0" t="n">
        <v>0.9</v>
      </c>
    </row>
    <row r="1667" customFormat="false" ht="12.8" hidden="false" customHeight="false" outlineLevel="0" collapsed="false">
      <c r="I1667" s="0" t="n">
        <v>416</v>
      </c>
      <c r="J1667" s="0" t="n">
        <v>534.5</v>
      </c>
      <c r="K1667" s="0" t="n">
        <v>0.9</v>
      </c>
    </row>
    <row r="1668" customFormat="false" ht="12.8" hidden="false" customHeight="false" outlineLevel="0" collapsed="false">
      <c r="I1668" s="0" t="n">
        <v>416.25</v>
      </c>
      <c r="J1668" s="0" t="n">
        <v>534.8</v>
      </c>
      <c r="K1668" s="0" t="n">
        <v>0.9</v>
      </c>
    </row>
    <row r="1669" customFormat="false" ht="12.8" hidden="false" customHeight="false" outlineLevel="0" collapsed="false">
      <c r="I1669" s="0" t="n">
        <v>416.5</v>
      </c>
      <c r="J1669" s="0" t="n">
        <v>535</v>
      </c>
      <c r="K1669" s="0" t="n">
        <v>0.9</v>
      </c>
    </row>
    <row r="1670" customFormat="false" ht="12.8" hidden="false" customHeight="false" outlineLevel="0" collapsed="false">
      <c r="I1670" s="0" t="n">
        <v>416.75</v>
      </c>
      <c r="J1670" s="0" t="n">
        <v>535.2</v>
      </c>
      <c r="K1670" s="0" t="n">
        <v>0.9</v>
      </c>
    </row>
    <row r="1671" customFormat="false" ht="12.8" hidden="false" customHeight="false" outlineLevel="0" collapsed="false">
      <c r="I1671" s="0" t="n">
        <v>417</v>
      </c>
      <c r="J1671" s="0" t="n">
        <v>535.4</v>
      </c>
      <c r="K1671" s="0" t="n">
        <v>0.9</v>
      </c>
    </row>
    <row r="1672" customFormat="false" ht="12.8" hidden="false" customHeight="false" outlineLevel="0" collapsed="false">
      <c r="I1672" s="0" t="n">
        <v>417.25</v>
      </c>
      <c r="J1672" s="0" t="n">
        <v>535.7</v>
      </c>
      <c r="K1672" s="0" t="n">
        <v>0.9</v>
      </c>
    </row>
    <row r="1673" customFormat="false" ht="12.8" hidden="false" customHeight="false" outlineLevel="0" collapsed="false">
      <c r="I1673" s="0" t="n">
        <v>417.5</v>
      </c>
      <c r="J1673" s="0" t="n">
        <v>535.9</v>
      </c>
      <c r="K1673" s="0" t="n">
        <v>0.9</v>
      </c>
    </row>
    <row r="1674" customFormat="false" ht="12.8" hidden="false" customHeight="false" outlineLevel="0" collapsed="false">
      <c r="I1674" s="0" t="n">
        <v>417.75</v>
      </c>
      <c r="J1674" s="0" t="n">
        <v>536.1</v>
      </c>
      <c r="K1674" s="0" t="n">
        <v>0.9</v>
      </c>
    </row>
    <row r="1675" customFormat="false" ht="12.8" hidden="false" customHeight="false" outlineLevel="0" collapsed="false">
      <c r="I1675" s="0" t="n">
        <v>418</v>
      </c>
      <c r="J1675" s="0" t="n">
        <v>536.4</v>
      </c>
      <c r="K1675" s="0" t="n">
        <v>0.9</v>
      </c>
    </row>
    <row r="1676" customFormat="false" ht="12.8" hidden="false" customHeight="false" outlineLevel="0" collapsed="false">
      <c r="I1676" s="0" t="n">
        <v>418.25</v>
      </c>
      <c r="J1676" s="0" t="n">
        <v>536.6</v>
      </c>
      <c r="K1676" s="0" t="n">
        <v>0.9</v>
      </c>
    </row>
    <row r="1677" customFormat="false" ht="12.8" hidden="false" customHeight="false" outlineLevel="0" collapsed="false">
      <c r="I1677" s="0" t="n">
        <v>418.5</v>
      </c>
      <c r="J1677" s="0" t="n">
        <v>536.8</v>
      </c>
      <c r="K1677" s="0" t="n">
        <v>0.9</v>
      </c>
    </row>
    <row r="1678" customFormat="false" ht="12.8" hidden="false" customHeight="false" outlineLevel="0" collapsed="false">
      <c r="I1678" s="0" t="n">
        <v>418.75</v>
      </c>
      <c r="J1678" s="0" t="n">
        <v>537.1</v>
      </c>
      <c r="K1678" s="0" t="n">
        <v>0.9</v>
      </c>
    </row>
    <row r="1679" customFormat="false" ht="12.8" hidden="false" customHeight="false" outlineLevel="0" collapsed="false">
      <c r="I1679" s="0" t="n">
        <v>419</v>
      </c>
      <c r="J1679" s="0" t="n">
        <v>537.3</v>
      </c>
      <c r="K1679" s="0" t="n">
        <v>0.9</v>
      </c>
    </row>
    <row r="1680" customFormat="false" ht="12.8" hidden="false" customHeight="false" outlineLevel="0" collapsed="false">
      <c r="I1680" s="0" t="n">
        <v>419.25</v>
      </c>
      <c r="J1680" s="0" t="n">
        <v>537.5</v>
      </c>
      <c r="K1680" s="0" t="n">
        <v>0.9</v>
      </c>
    </row>
    <row r="1681" customFormat="false" ht="12.8" hidden="false" customHeight="false" outlineLevel="0" collapsed="false">
      <c r="I1681" s="0" t="n">
        <v>419.5</v>
      </c>
      <c r="J1681" s="0" t="n">
        <v>537.7</v>
      </c>
      <c r="K1681" s="0" t="n">
        <v>0.9</v>
      </c>
    </row>
    <row r="1682" customFormat="false" ht="12.8" hidden="false" customHeight="false" outlineLevel="0" collapsed="false">
      <c r="I1682" s="0" t="n">
        <v>419.75</v>
      </c>
      <c r="J1682" s="0" t="n">
        <v>538</v>
      </c>
      <c r="K1682" s="0" t="n">
        <v>0.9</v>
      </c>
    </row>
    <row r="1683" customFormat="false" ht="12.8" hidden="false" customHeight="false" outlineLevel="0" collapsed="false">
      <c r="I1683" s="0" t="n">
        <v>420</v>
      </c>
      <c r="J1683" s="0" t="n">
        <v>538.2</v>
      </c>
      <c r="K1683" s="0" t="n">
        <v>0.9</v>
      </c>
    </row>
    <row r="1684" customFormat="false" ht="12.8" hidden="false" customHeight="false" outlineLevel="0" collapsed="false">
      <c r="I1684" s="0" t="n">
        <v>420.25</v>
      </c>
      <c r="J1684" s="0" t="n">
        <v>538.4</v>
      </c>
      <c r="K1684" s="0" t="n">
        <v>0.9</v>
      </c>
    </row>
    <row r="1685" customFormat="false" ht="12.8" hidden="false" customHeight="false" outlineLevel="0" collapsed="false">
      <c r="I1685" s="0" t="n">
        <v>420.5</v>
      </c>
      <c r="J1685" s="0" t="n">
        <v>538.7</v>
      </c>
      <c r="K1685" s="0" t="n">
        <v>0.9</v>
      </c>
    </row>
    <row r="1686" customFormat="false" ht="12.8" hidden="false" customHeight="false" outlineLevel="0" collapsed="false">
      <c r="I1686" s="0" t="n">
        <v>420.75</v>
      </c>
      <c r="J1686" s="0" t="n">
        <v>538.9</v>
      </c>
      <c r="K1686" s="0" t="n">
        <v>0.9</v>
      </c>
    </row>
    <row r="1687" customFormat="false" ht="12.8" hidden="false" customHeight="false" outlineLevel="0" collapsed="false">
      <c r="I1687" s="0" t="n">
        <v>421</v>
      </c>
      <c r="J1687" s="0" t="n">
        <v>539.1</v>
      </c>
      <c r="K1687" s="0" t="n">
        <v>0.9</v>
      </c>
    </row>
    <row r="1688" customFormat="false" ht="12.8" hidden="false" customHeight="false" outlineLevel="0" collapsed="false">
      <c r="I1688" s="0" t="n">
        <v>421.25</v>
      </c>
      <c r="J1688" s="0" t="n">
        <v>539.4</v>
      </c>
      <c r="K1688" s="0" t="n">
        <v>0.9</v>
      </c>
    </row>
    <row r="1689" customFormat="false" ht="12.8" hidden="false" customHeight="false" outlineLevel="0" collapsed="false">
      <c r="I1689" s="0" t="n">
        <v>421.5</v>
      </c>
      <c r="J1689" s="0" t="n">
        <v>539.6</v>
      </c>
      <c r="K1689" s="0" t="n">
        <v>0.9</v>
      </c>
    </row>
    <row r="1690" customFormat="false" ht="12.8" hidden="false" customHeight="false" outlineLevel="0" collapsed="false">
      <c r="I1690" s="0" t="n">
        <v>421.75</v>
      </c>
      <c r="J1690" s="0" t="n">
        <v>539.8</v>
      </c>
      <c r="K1690" s="0" t="n">
        <v>0.9</v>
      </c>
    </row>
    <row r="1691" customFormat="false" ht="12.8" hidden="false" customHeight="false" outlineLevel="0" collapsed="false">
      <c r="I1691" s="0" t="n">
        <v>422</v>
      </c>
      <c r="J1691" s="0" t="n">
        <v>540.1</v>
      </c>
      <c r="K1691" s="0" t="n">
        <v>1</v>
      </c>
    </row>
    <row r="1692" customFormat="false" ht="12.8" hidden="false" customHeight="false" outlineLevel="0" collapsed="false">
      <c r="I1692" s="0" t="n">
        <v>422.25</v>
      </c>
      <c r="J1692" s="0" t="n">
        <v>540.4</v>
      </c>
      <c r="K1692" s="0" t="n">
        <v>1.4</v>
      </c>
    </row>
    <row r="1693" customFormat="false" ht="12.8" hidden="false" customHeight="false" outlineLevel="0" collapsed="false">
      <c r="I1693" s="0" t="n">
        <v>422.5</v>
      </c>
      <c r="J1693" s="0" t="n">
        <v>540.8</v>
      </c>
      <c r="K1693" s="0" t="n">
        <v>1.4</v>
      </c>
    </row>
    <row r="1694" customFormat="false" ht="12.8" hidden="false" customHeight="false" outlineLevel="0" collapsed="false">
      <c r="I1694" s="0" t="n">
        <v>422.75</v>
      </c>
      <c r="J1694" s="0" t="n">
        <v>541.1</v>
      </c>
      <c r="K1694" s="0" t="n">
        <v>1.4</v>
      </c>
    </row>
    <row r="1695" customFormat="false" ht="12.8" hidden="false" customHeight="false" outlineLevel="0" collapsed="false">
      <c r="I1695" s="0" t="n">
        <v>423</v>
      </c>
      <c r="J1695" s="0" t="n">
        <v>541.5</v>
      </c>
      <c r="K1695" s="0" t="n">
        <v>1.4</v>
      </c>
    </row>
    <row r="1696" customFormat="false" ht="12.8" hidden="false" customHeight="false" outlineLevel="0" collapsed="false">
      <c r="I1696" s="0" t="n">
        <v>423.25</v>
      </c>
      <c r="J1696" s="0" t="n">
        <v>541.8</v>
      </c>
      <c r="K1696" s="0" t="n">
        <v>1.4</v>
      </c>
    </row>
    <row r="1697" customFormat="false" ht="12.8" hidden="false" customHeight="false" outlineLevel="0" collapsed="false">
      <c r="I1697" s="0" t="n">
        <v>423.5</v>
      </c>
      <c r="J1697" s="0" t="n">
        <v>542.2</v>
      </c>
      <c r="K1697" s="0" t="n">
        <v>1.4</v>
      </c>
    </row>
    <row r="1698" customFormat="false" ht="12.8" hidden="false" customHeight="false" outlineLevel="0" collapsed="false">
      <c r="I1698" s="0" t="n">
        <v>423.75</v>
      </c>
      <c r="J1698" s="0" t="n">
        <v>542.5</v>
      </c>
      <c r="K1698" s="0" t="n">
        <v>1.4</v>
      </c>
    </row>
    <row r="1699" customFormat="false" ht="12.8" hidden="false" customHeight="false" outlineLevel="0" collapsed="false">
      <c r="I1699" s="0" t="n">
        <v>424</v>
      </c>
      <c r="J1699" s="0" t="n">
        <v>542.9</v>
      </c>
      <c r="K1699" s="0" t="n">
        <v>1.4</v>
      </c>
    </row>
    <row r="1700" customFormat="false" ht="12.8" hidden="false" customHeight="false" outlineLevel="0" collapsed="false">
      <c r="I1700" s="0" t="n">
        <v>424.25</v>
      </c>
      <c r="J1700" s="0" t="n">
        <v>543.2</v>
      </c>
      <c r="K1700" s="0" t="n">
        <v>1.4</v>
      </c>
    </row>
    <row r="1701" customFormat="false" ht="12.8" hidden="false" customHeight="false" outlineLevel="0" collapsed="false">
      <c r="I1701" s="0" t="n">
        <v>424.5</v>
      </c>
      <c r="J1701" s="0" t="n">
        <v>543.6</v>
      </c>
      <c r="K1701" s="0" t="n">
        <v>1.4</v>
      </c>
    </row>
    <row r="1702" customFormat="false" ht="12.8" hidden="false" customHeight="false" outlineLevel="0" collapsed="false">
      <c r="I1702" s="0" t="n">
        <v>424.75</v>
      </c>
      <c r="J1702" s="0" t="n">
        <v>543.9</v>
      </c>
      <c r="K1702" s="0" t="n">
        <v>1.4</v>
      </c>
    </row>
    <row r="1703" customFormat="false" ht="12.8" hidden="false" customHeight="false" outlineLevel="0" collapsed="false">
      <c r="I1703" s="0" t="n">
        <v>425</v>
      </c>
      <c r="J1703" s="0" t="n">
        <v>544.3</v>
      </c>
      <c r="K1703" s="0" t="n">
        <v>1.4</v>
      </c>
    </row>
    <row r="1704" customFormat="false" ht="12.8" hidden="false" customHeight="false" outlineLevel="0" collapsed="false">
      <c r="I1704" s="0" t="n">
        <v>425.25</v>
      </c>
      <c r="J1704" s="0" t="n">
        <v>544.6</v>
      </c>
      <c r="K1704" s="0" t="n">
        <v>1.4</v>
      </c>
    </row>
    <row r="1705" customFormat="false" ht="12.8" hidden="false" customHeight="false" outlineLevel="0" collapsed="false">
      <c r="I1705" s="0" t="n">
        <v>425.5</v>
      </c>
      <c r="J1705" s="0" t="n">
        <v>545</v>
      </c>
      <c r="K1705" s="0" t="n">
        <v>1.4</v>
      </c>
    </row>
    <row r="1706" customFormat="false" ht="12.8" hidden="false" customHeight="false" outlineLevel="0" collapsed="false">
      <c r="I1706" s="0" t="n">
        <v>425.75</v>
      </c>
      <c r="J1706" s="0" t="n">
        <v>545.3</v>
      </c>
      <c r="K1706" s="0" t="n">
        <v>1.4</v>
      </c>
    </row>
    <row r="1707" customFormat="false" ht="12.8" hidden="false" customHeight="false" outlineLevel="0" collapsed="false">
      <c r="I1707" s="0" t="n">
        <v>426</v>
      </c>
      <c r="J1707" s="0" t="n">
        <v>545.7</v>
      </c>
      <c r="K1707" s="0" t="n">
        <v>1.4</v>
      </c>
    </row>
    <row r="1708" customFormat="false" ht="12.8" hidden="false" customHeight="false" outlineLevel="0" collapsed="false">
      <c r="I1708" s="0" t="n">
        <v>426.25</v>
      </c>
      <c r="J1708" s="0" t="n">
        <v>546</v>
      </c>
      <c r="K1708" s="0" t="n">
        <v>1.4</v>
      </c>
    </row>
    <row r="1709" customFormat="false" ht="12.8" hidden="false" customHeight="false" outlineLevel="0" collapsed="false">
      <c r="I1709" s="0" t="n">
        <v>426.5</v>
      </c>
      <c r="J1709" s="0" t="n">
        <v>546.4</v>
      </c>
      <c r="K1709" s="0" t="n">
        <v>1.4</v>
      </c>
    </row>
    <row r="1710" customFormat="false" ht="12.8" hidden="false" customHeight="false" outlineLevel="0" collapsed="false">
      <c r="I1710" s="0" t="n">
        <v>426.75</v>
      </c>
      <c r="J1710" s="0" t="n">
        <v>546.7</v>
      </c>
      <c r="K1710" s="0" t="n">
        <v>1.4</v>
      </c>
    </row>
    <row r="1711" customFormat="false" ht="12.8" hidden="false" customHeight="false" outlineLevel="0" collapsed="false">
      <c r="I1711" s="0" t="n">
        <v>427</v>
      </c>
      <c r="J1711" s="0" t="n">
        <v>547.1</v>
      </c>
      <c r="K1711" s="0" t="n">
        <v>1.4</v>
      </c>
    </row>
    <row r="1712" customFormat="false" ht="12.8" hidden="false" customHeight="false" outlineLevel="0" collapsed="false">
      <c r="I1712" s="0" t="n">
        <v>427.25</v>
      </c>
      <c r="J1712" s="0" t="n">
        <v>547.4</v>
      </c>
      <c r="K1712" s="0" t="n">
        <v>1.4</v>
      </c>
    </row>
    <row r="1713" customFormat="false" ht="12.8" hidden="false" customHeight="false" outlineLevel="0" collapsed="false">
      <c r="I1713" s="0" t="n">
        <v>427.5</v>
      </c>
      <c r="J1713" s="0" t="n">
        <v>548.2</v>
      </c>
      <c r="K1713" s="0" t="n">
        <v>3.1</v>
      </c>
    </row>
    <row r="1714" customFormat="false" ht="12.8" hidden="false" customHeight="false" outlineLevel="0" collapsed="false">
      <c r="I1714" s="0" t="n">
        <v>427.75</v>
      </c>
      <c r="J1714" s="0" t="n">
        <v>549.1</v>
      </c>
      <c r="K1714" s="0" t="n">
        <v>3.6</v>
      </c>
    </row>
    <row r="1715" customFormat="false" ht="12.8" hidden="false" customHeight="false" outlineLevel="0" collapsed="false">
      <c r="I1715" s="0" t="n">
        <v>428</v>
      </c>
      <c r="J1715" s="0" t="n">
        <v>550</v>
      </c>
      <c r="K1715" s="0" t="n">
        <v>3.6</v>
      </c>
    </row>
    <row r="1716" customFormat="false" ht="12.8" hidden="false" customHeight="false" outlineLevel="0" collapsed="false">
      <c r="I1716" s="0" t="n">
        <v>428.25</v>
      </c>
      <c r="J1716" s="0" t="n">
        <v>550.9</v>
      </c>
      <c r="K1716" s="0" t="n">
        <v>3.6</v>
      </c>
    </row>
    <row r="1717" customFormat="false" ht="12.8" hidden="false" customHeight="false" outlineLevel="0" collapsed="false">
      <c r="I1717" s="0" t="n">
        <v>428.5</v>
      </c>
      <c r="J1717" s="0" t="n">
        <v>551.8</v>
      </c>
      <c r="K1717" s="0" t="n">
        <v>3.6</v>
      </c>
    </row>
    <row r="1718" customFormat="false" ht="12.8" hidden="false" customHeight="false" outlineLevel="0" collapsed="false">
      <c r="I1718" s="0" t="n">
        <v>428.75</v>
      </c>
      <c r="J1718" s="0" t="n">
        <v>552.7</v>
      </c>
      <c r="K1718" s="0" t="n">
        <v>3.6</v>
      </c>
    </row>
    <row r="1719" customFormat="false" ht="12.8" hidden="false" customHeight="false" outlineLevel="0" collapsed="false">
      <c r="I1719" s="0" t="n">
        <v>429</v>
      </c>
      <c r="J1719" s="0" t="n">
        <v>553.6</v>
      </c>
      <c r="K1719" s="0" t="n">
        <v>3.6</v>
      </c>
    </row>
    <row r="1720" customFormat="false" ht="12.8" hidden="false" customHeight="false" outlineLevel="0" collapsed="false">
      <c r="I1720" s="0" t="n">
        <v>429.25</v>
      </c>
      <c r="J1720" s="0" t="n">
        <v>554.5</v>
      </c>
      <c r="K1720" s="0" t="n">
        <v>3.6</v>
      </c>
    </row>
    <row r="1721" customFormat="false" ht="12.8" hidden="false" customHeight="false" outlineLevel="0" collapsed="false">
      <c r="I1721" s="0" t="n">
        <v>429.5</v>
      </c>
      <c r="J1721" s="0" t="n">
        <v>555</v>
      </c>
      <c r="K1721" s="0" t="n">
        <v>3.6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989</TotalTime>
  <Application>LibreOffice/25.8.7.3$Linux_X86_64 LibreOffice_project/fa62c01a44f84ad74d4904d2c894664e98fd27c1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2026-05-15T17:11:55Z</dcterms:created>
  <dc:creator/>
  <dc:description/>
  <dc:language>en-US</dc:language>
  <cp:lastModifiedBy/>
  <dcterms:modified xsi:type="dcterms:W3CDTF">2026-06-07T22:02:06Z</dcterms:modified>
  <cp:revision>197</cp:revision>
  <dc:subject/>
  <dc:title/>
</cp:coreProperties>
</file>