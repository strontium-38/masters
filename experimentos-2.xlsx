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aracterizacao" sheetId="1" state="visible" r:id="rId3"/>
    <sheet name="COV" sheetId="2" state="visible" r:id="rId4"/>
    <sheet name="Calibracao Bombas" sheetId="3" state="visible" r:id="rId5"/>
    <sheet name="Nutriente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<sst xmlns="http://schemas.openxmlformats.org/spreadsheetml/2006/main" count="266" uniqueCount="143">
  <si>
    <t xml:space="preserve">Determinacao densidade</t>
  </si>
  <si>
    <t xml:space="preserve">Amostra</t>
  </si>
  <si>
    <t xml:space="preserve">m0 (g)</t>
  </si>
  <si>
    <t xml:space="preserve">m1 (g)</t>
  </si>
  <si>
    <t xml:space="preserve">m1 - m0 (g)</t>
  </si>
  <si>
    <t xml:space="preserve">V (L)</t>
  </si>
  <si>
    <t xml:space="preserve">m2 (g)</t>
  </si>
  <si>
    <t xml:space="preserve">m2 – m0 (g)</t>
  </si>
  <si>
    <t xml:space="preserve">densidade (g/L)</t>
  </si>
  <si>
    <t xml:space="preserve">densidade padrao (g/L)</t>
  </si>
  <si>
    <t xml:space="preserve">RA</t>
  </si>
  <si>
    <t xml:space="preserve">GL</t>
  </si>
  <si>
    <t xml:space="preserve">Inoculo</t>
  </si>
  <si>
    <t xml:space="preserve">Densidade agua (g/L)</t>
  </si>
  <si>
    <t xml:space="preserve">Determinacao de Solidos</t>
  </si>
  <si>
    <t xml:space="preserve">m sub (g)</t>
  </si>
  <si>
    <t xml:space="preserve">V sub (L)</t>
  </si>
  <si>
    <t xml:space="preserve">TS (g/L)</t>
  </si>
  <si>
    <t xml:space="preserve">media TS (g/L)</t>
  </si>
  <si>
    <t xml:space="preserve">TS %</t>
  </si>
  <si>
    <t xml:space="preserve">media TS %</t>
  </si>
  <si>
    <t xml:space="preserve">m3 (g)</t>
  </si>
  <si>
    <t xml:space="preserve">VS (g/L)</t>
  </si>
  <si>
    <t xml:space="preserve">media VS (g/L)</t>
  </si>
  <si>
    <t xml:space="preserve">VS %</t>
  </si>
  <si>
    <t xml:space="preserve">media VS %</t>
  </si>
  <si>
    <t xml:space="preserve">FS (g/L)</t>
  </si>
  <si>
    <t xml:space="preserve">media FS (g/L)</t>
  </si>
  <si>
    <t xml:space="preserve">FS %</t>
  </si>
  <si>
    <t xml:space="preserve">media FS %</t>
  </si>
  <si>
    <t xml:space="preserve">Resultado TOC</t>
  </si>
  <si>
    <t xml:space="preserve">TOC (mg/L)</t>
  </si>
  <si>
    <t xml:space="preserve">TC (mg/L)</t>
  </si>
  <si>
    <t xml:space="preserve">IC (mg/L)</t>
  </si>
  <si>
    <t xml:space="preserve">TN (mg/L)</t>
  </si>
  <si>
    <t xml:space="preserve">diluicao</t>
  </si>
  <si>
    <t xml:space="preserve">media TC (mg/L)</t>
  </si>
  <si>
    <t xml:space="preserve">media IC (mg/L)</t>
  </si>
  <si>
    <t xml:space="preserve">media TN (mg/L)</t>
  </si>
  <si>
    <t xml:space="preserve">Substrato</t>
  </si>
  <si>
    <t xml:space="preserve">Densidade (g/L)</t>
  </si>
  <si>
    <t xml:space="preserve">TC (g/L)</t>
  </si>
  <si>
    <t xml:space="preserve">TN (g/L)</t>
  </si>
  <si>
    <t xml:space="preserve">Sub 1</t>
  </si>
  <si>
    <t xml:space="preserve">Sub 2</t>
  </si>
  <si>
    <t xml:space="preserve">Glucose</t>
  </si>
  <si>
    <t xml:space="preserve">Diluicao</t>
  </si>
  <si>
    <t xml:space="preserve">GL – BIO</t>
  </si>
  <si>
    <t xml:space="preserve">Densidade ajustada (g/L)</t>
  </si>
  <si>
    <t xml:space="preserve">GL – PURO</t>
  </si>
  <si>
    <t xml:space="preserve">TC ajustado (g/L)</t>
  </si>
  <si>
    <t xml:space="preserve">TN ajustado (g/L)</t>
  </si>
  <si>
    <t xml:space="preserve">TS ajustado (g/L)</t>
  </si>
  <si>
    <t xml:space="preserve">VS ajustado (g/L)</t>
  </si>
  <si>
    <t xml:space="preserve">C/N Calculation</t>
  </si>
  <si>
    <t xml:space="preserve">Proporcao</t>
  </si>
  <si>
    <t xml:space="preserve">C</t>
  </si>
  <si>
    <t xml:space="preserve">N</t>
  </si>
  <si>
    <t xml:space="preserve">Volume Ratio Parts</t>
  </si>
  <si>
    <t xml:space="preserve">C/N</t>
  </si>
  <si>
    <t xml:space="preserve">Volume Ratio (L)</t>
  </si>
  <si>
    <t xml:space="preserve">-</t>
  </si>
  <si>
    <t xml:space="preserve">Volume (L)</t>
  </si>
  <si>
    <t xml:space="preserve">From V Ratio (L)</t>
  </si>
  <si>
    <t xml:space="preserve">Volume (mL)</t>
  </si>
  <si>
    <t xml:space="preserve">Quantidade Carbono (g)</t>
  </si>
  <si>
    <t xml:space="preserve">Concentracao Carbono (g/L)</t>
  </si>
  <si>
    <t xml:space="preserve">Mistura </t>
  </si>
  <si>
    <t xml:space="preserve">Calculo ST e SV</t>
  </si>
  <si>
    <t xml:space="preserve">Mass (g)</t>
  </si>
  <si>
    <t xml:space="preserve">Total Mass (g)</t>
  </si>
  <si>
    <t xml:space="preserve">TS (g)</t>
  </si>
  <si>
    <t xml:space="preserve">VS (g)</t>
  </si>
  <si>
    <t xml:space="preserve">VS/TS</t>
  </si>
  <si>
    <t xml:space="preserve">TS % Alvo</t>
  </si>
  <si>
    <t xml:space="preserve">TS % Ratio</t>
  </si>
  <si>
    <t xml:space="preserve">VS diluido (g)</t>
  </si>
  <si>
    <t xml:space="preserve">VS diluido (g/L)</t>
  </si>
  <si>
    <t xml:space="preserve">Calculo COV</t>
  </si>
  <si>
    <t xml:space="preserve">Reator</t>
  </si>
  <si>
    <t xml:space="preserve">Volume (m^3)</t>
  </si>
  <si>
    <t xml:space="preserve">Tempo Retencao (d)</t>
  </si>
  <si>
    <t xml:space="preserve">Fluxo (L/d)</t>
  </si>
  <si>
    <t xml:space="preserve">VS (g/d)</t>
  </si>
  <si>
    <t xml:space="preserve">VS (Kg/d)</t>
  </si>
  <si>
    <t xml:space="preserve">COV (Kg SV/m³ d)</t>
  </si>
  <si>
    <t xml:space="preserve">Reator Pequeno 1 </t>
  </si>
  <si>
    <t xml:space="preserve">Reator Pequeno 2</t>
  </si>
  <si>
    <t xml:space="preserve">Reator Grande</t>
  </si>
  <si>
    <t xml:space="preserve">COV Alvo</t>
  </si>
  <si>
    <t xml:space="preserve">COV Ratio</t>
  </si>
  <si>
    <t xml:space="preserve">TS % diluido</t>
  </si>
  <si>
    <t xml:space="preserve">Calculo para montar a solucao</t>
  </si>
  <si>
    <t xml:space="preserve">Diluicao TS</t>
  </si>
  <si>
    <t xml:space="preserve">Proporcao Sub</t>
  </si>
  <si>
    <t xml:space="preserve">Volume Sub (mL)</t>
  </si>
  <si>
    <t xml:space="preserve">g</t>
  </si>
  <si>
    <t xml:space="preserve">Diluicao COV</t>
  </si>
  <si>
    <t xml:space="preserve">COV</t>
  </si>
  <si>
    <t xml:space="preserve">Volumes (L)</t>
  </si>
  <si>
    <t xml:space="preserve">bomba grande A</t>
  </si>
  <si>
    <t xml:space="preserve">mL/min</t>
  </si>
  <si>
    <t xml:space="preserve">rpm</t>
  </si>
  <si>
    <t xml:space="preserve">volume (mL)</t>
  </si>
  <si>
    <t xml:space="preserve">bomba pequena</t>
  </si>
  <si>
    <t xml:space="preserve">Diogenes</t>
  </si>
  <si>
    <t xml:space="preserve">bomba grande B</t>
  </si>
  <si>
    <t xml:space="preserve">bomba grande C</t>
  </si>
  <si>
    <t xml:space="preserve">Verena entrada</t>
  </si>
  <si>
    <t xml:space="preserve">medido em 30 s</t>
  </si>
  <si>
    <t xml:space="preserve">Verena saida</t>
  </si>
  <si>
    <t xml:space="preserve">verena</t>
  </si>
  <si>
    <t xml:space="preserve">reator diogenes</t>
  </si>
  <si>
    <t xml:space="preserve">reator pequeno</t>
  </si>
  <si>
    <t xml:space="preserve">reator grande</t>
  </si>
  <si>
    <t xml:space="preserve">quant ativacoes</t>
  </si>
  <si>
    <t xml:space="preserve">tempo rentencao (dia)</t>
  </si>
  <si>
    <t xml:space="preserve">tempo ativacao (min)</t>
  </si>
  <si>
    <t xml:space="preserve">volume/dia (mL)</t>
  </si>
  <si>
    <t xml:space="preserve">volume/ativacao (mL)</t>
  </si>
  <si>
    <t xml:space="preserve">volume/minuto (mL)</t>
  </si>
  <si>
    <t xml:space="preserve">curva bomba a</t>
  </si>
  <si>
    <t xml:space="preserve">Curva 2 bomba a</t>
  </si>
  <si>
    <t xml:space="preserve">Nutrientes</t>
  </si>
  <si>
    <t xml:space="preserve">Mass (mg/350ml)</t>
  </si>
  <si>
    <t xml:space="preserve">Adição (mg/L)</t>
  </si>
  <si>
    <t xml:space="preserve">Adição (g/L)</t>
  </si>
  <si>
    <t xml:space="preserve">X100 (g/L)</t>
  </si>
  <si>
    <t xml:space="preserve">X1000 (g/L)</t>
  </si>
  <si>
    <t xml:space="preserve">X2000 (g/L)</t>
  </si>
  <si>
    <t xml:space="preserve">MgSO4.7H2O</t>
  </si>
  <si>
    <t xml:space="preserve">FeSO4.7H2O</t>
  </si>
  <si>
    <t xml:space="preserve">CoCl2.6H2O</t>
  </si>
  <si>
    <t xml:space="preserve">ZnCl2</t>
  </si>
  <si>
    <t xml:space="preserve">NiCl2.6H2O</t>
  </si>
  <si>
    <t xml:space="preserve">EDTA</t>
  </si>
  <si>
    <t xml:space="preserve">CuSO4.5H2O</t>
  </si>
  <si>
    <t xml:space="preserve">mL</t>
  </si>
  <si>
    <t xml:space="preserve">g/L</t>
  </si>
  <si>
    <t xml:space="preserve">1X </t>
  </si>
  <si>
    <t xml:space="preserve">100X</t>
  </si>
  <si>
    <t xml:space="preserve">1000X</t>
  </si>
  <si>
    <t xml:space="preserve">2000X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</si>
</sst>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0"/>
    <numFmt numFmtId="166" formatCode="0.00000"/>
    <numFmt numFmtId="167" formatCode="0"/>
    <numFmt numFmtId="168" formatCode="0.000000"/>
    <numFmt numFmtId="169" formatCode="0.00000000"/>
    <numFmt numFmtId="170" formatCode="0.000000000"/>
    <numFmt numFmtId="171" formatCode="0.0000000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0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AFD095"/>
        <bgColor rgb="FFB3CAC7"/>
      </patternFill>
    </fill>
    <fill>
      <patternFill patternType="solid">
        <fgColor rgb="FFFFFFA6"/>
        <bgColor rgb="FFFFFFCC"/>
      </patternFill>
    </fill>
    <fill>
      <patternFill patternType="solid">
        <fgColor rgb="FFB4C7DC"/>
        <bgColor rgb="FFB3CAC7"/>
      </patternFill>
    </fill>
    <fill>
      <patternFill patternType="solid">
        <fgColor rgb="FFB7B3CA"/>
        <bgColor rgb="FFB3B3B3"/>
      </patternFill>
    </fill>
    <fill>
      <patternFill patternType="solid">
        <fgColor rgb="FFB3CAC7"/>
        <bgColor rgb="FFB4C7DC"/>
      </patternFill>
    </fill>
    <fill>
      <patternFill patternType="solid">
        <fgColor rgb="FF8E86AE"/>
        <bgColor rgb="FF729FCF"/>
      </patternFill>
    </fill>
    <fill>
      <patternFill patternType="solid">
        <fgColor rgb="FF81ACA6"/>
        <bgColor rgb="FF729FCF"/>
      </patternFill>
    </fill>
    <fill>
      <patternFill patternType="solid">
        <fgColor rgb="FF729FCF"/>
        <bgColor rgb="FF81ACA6"/>
      </patternFill>
    </fill>
    <fill>
      <patternFill patternType="solid">
        <fgColor rgb="FF3465A4"/>
        <bgColor rgb="FF3366FF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2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3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7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6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6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6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6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6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6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6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6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4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6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6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2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1ACA6"/>
      <rgbColor rgb="FF729FCF"/>
      <rgbColor rgb="FF993366"/>
      <rgbColor rgb="FFFFFFCC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FD095"/>
      <rgbColor rgb="FFFFFFA6"/>
      <rgbColor rgb="FFB3B3B3"/>
      <rgbColor rgb="FFFF99CC"/>
      <rgbColor rgb="FFB7B3CA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8E86AE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Bombas'!$M$1</c:f>
              <c:strCache>
                <c:ptCount val="1"/>
                <c:pt idx="0">
                  <c:v>volume (mL)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Bombas'!$L$2:$L$12</c:f>
              <c:numCache>
                <c:formatCode>General</c:formatCode>
                <c:ptCount val="1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50</c:v>
                </c:pt>
                <c:pt idx="7">
                  <c:v>80</c:v>
                </c:pt>
                <c:pt idx="8">
                  <c:v>100</c:v>
                </c:pt>
                <c:pt idx="9">
                  <c:v>120</c:v>
                </c:pt>
                <c:pt idx="10">
                  <c:v>200</c:v>
                </c:pt>
              </c:numCache>
            </c:numRef>
          </c:xVal>
          <c:yVal>
            <c:numRef>
              <c:f>'Calibracao Bombas'!$M$2:$M$12</c:f>
              <c:numCache>
                <c:formatCode>General</c:formatCode>
                <c:ptCount val="11"/>
                <c:pt idx="0">
                  <c:v>1.5</c:v>
                </c:pt>
                <c:pt idx="1">
                  <c:v>4</c:v>
                </c:pt>
                <c:pt idx="2">
                  <c:v>8.9</c:v>
                </c:pt>
                <c:pt idx="3">
                  <c:v>13.3</c:v>
                </c:pt>
                <c:pt idx="4">
                  <c:v>17.5</c:v>
                </c:pt>
                <c:pt idx="5">
                  <c:v>26</c:v>
                </c:pt>
                <c:pt idx="6">
                  <c:v>44</c:v>
                </c:pt>
                <c:pt idx="7">
                  <c:v>69</c:v>
                </c:pt>
                <c:pt idx="8">
                  <c:v>87</c:v>
                </c:pt>
                <c:pt idx="9">
                  <c:v>104</c:v>
                </c:pt>
                <c:pt idx="10">
                  <c:v>168</c:v>
                </c:pt>
              </c:numCache>
            </c:numRef>
          </c:yVal>
          <c:smooth val="0"/>
        </c:ser>
        <c:axId val="60382504"/>
        <c:axId val="3895437"/>
      </c:scatterChart>
      <c:valAx>
        <c:axId val="6038250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895437"/>
        <c:crosses val="autoZero"/>
        <c:crossBetween val="midCat"/>
      </c:valAx>
      <c:valAx>
        <c:axId val="38954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038250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Bombas'!$D$1</c:f>
              <c:strCache>
                <c:ptCount val="1"/>
                <c:pt idx="0">
                  <c:v>volume (mL)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Bombas'!$C$2:$C$12</c:f>
              <c:numCache>
                <c:formatCode>0.0000</c:formatCode>
                <c:ptCount val="11"/>
                <c:pt idx="0">
                  <c:v>0.1</c:v>
                </c:pt>
                <c:pt idx="1">
                  <c:v>0.128</c:v>
                </c:pt>
                <c:pt idx="2">
                  <c:v>0.16</c:v>
                </c:pt>
                <c:pt idx="3">
                  <c:v>0.191</c:v>
                </c:pt>
                <c:pt idx="4">
                  <c:v>0.239</c:v>
                </c:pt>
                <c:pt idx="5">
                  <c:v>0.255</c:v>
                </c:pt>
                <c:pt idx="6">
                  <c:v>0.287</c:v>
                </c:pt>
                <c:pt idx="7">
                  <c:v>0.319</c:v>
                </c:pt>
                <c:pt idx="8">
                  <c:v>0.399</c:v>
                </c:pt>
                <c:pt idx="9">
                  <c:v>0.479</c:v>
                </c:pt>
                <c:pt idx="10">
                  <c:v>0.559</c:v>
                </c:pt>
              </c:numCache>
            </c:numRef>
          </c:xVal>
          <c:yVal>
            <c:numRef>
              <c:f>'Calibracao Bombas'!$D$2:$D$12</c:f>
              <c:numCache>
                <c:formatCode>0.0000</c:formatCode>
                <c:ptCount val="11"/>
                <c:pt idx="0">
                  <c:v>0.3</c:v>
                </c:pt>
                <c:pt idx="1">
                  <c:v>0.4</c:v>
                </c:pt>
                <c:pt idx="2">
                  <c:v>0.45</c:v>
                </c:pt>
                <c:pt idx="3">
                  <c:v>0.59</c:v>
                </c:pt>
                <c:pt idx="4">
                  <c:v>0.67</c:v>
                </c:pt>
                <c:pt idx="5">
                  <c:v>0.92</c:v>
                </c:pt>
                <c:pt idx="6">
                  <c:v>1.14</c:v>
                </c:pt>
                <c:pt idx="7">
                  <c:v>1.16</c:v>
                </c:pt>
                <c:pt idx="8">
                  <c:v>1.35</c:v>
                </c:pt>
                <c:pt idx="9">
                  <c:v>1.43</c:v>
                </c:pt>
                <c:pt idx="10">
                  <c:v>1.67</c:v>
                </c:pt>
              </c:numCache>
            </c:numRef>
          </c:yVal>
          <c:smooth val="0"/>
        </c:ser>
        <c:axId val="50036842"/>
        <c:axId val="63736959"/>
      </c:scatterChart>
      <c:valAx>
        <c:axId val="500368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3736959"/>
        <c:crosses val="autoZero"/>
        <c:crossBetween val="midCat"/>
      </c:valAx>
      <c:valAx>
        <c:axId val="637369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003684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Bombas'!$D$25</c:f>
              <c:strCache>
                <c:ptCount val="1"/>
                <c:pt idx="0">
                  <c:v>volume (mL)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Bombas'!$C$26:$C$36</c:f>
              <c:numCache>
                <c:formatCode>General</c:formatCode>
                <c:ptCount val="11"/>
              </c:numCache>
            </c:numRef>
          </c:xVal>
          <c:yVal>
            <c:numRef>
              <c:f>'Calibracao Bombas'!$D$26:$D$36</c:f>
              <c:numCache>
                <c:formatCode>General</c:formatCode>
                <c:ptCount val="11"/>
              </c:numCache>
            </c:numRef>
          </c:yVal>
          <c:smooth val="0"/>
        </c:ser>
        <c:axId val="20649150"/>
        <c:axId val="81125978"/>
      </c:scatterChart>
      <c:valAx>
        <c:axId val="206491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1125978"/>
        <c:crosses val="autoZero"/>
        <c:crossBetween val="midCat"/>
      </c:valAx>
      <c:valAx>
        <c:axId val="8112597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064915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Bombas'!$K$25</c:f>
              <c:strCache>
                <c:ptCount val="1"/>
                <c:pt idx="0">
                  <c:v>mL/min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Bombas'!$J$26:$J$36</c:f>
              <c:numCache>
                <c:formatCode>General</c:formatCode>
                <c:ptCount val="11"/>
              </c:numCache>
            </c:numRef>
          </c:xVal>
          <c:yVal>
            <c:numRef>
              <c:f>'Calibracao Bombas'!$K$26:$K$36</c:f>
              <c:numCache>
                <c:formatCode>General</c:formatCode>
                <c:ptCount val="11"/>
              </c:numCache>
            </c:numRef>
          </c:yVal>
          <c:smooth val="0"/>
        </c:ser>
        <c:axId val="11338691"/>
        <c:axId val="61251918"/>
      </c:scatterChart>
      <c:valAx>
        <c:axId val="113386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1251918"/>
        <c:crosses val="autoZero"/>
        <c:crossBetween val="midCat"/>
      </c:valAx>
      <c:valAx>
        <c:axId val="6125191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133869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618840</xdr:colOff>
      <xdr:row>0</xdr:row>
      <xdr:rowOff>19080</xdr:rowOff>
    </xdr:from>
    <xdr:to>
      <xdr:col>26</xdr:col>
      <xdr:colOff>174960</xdr:colOff>
      <xdr:row>76</xdr:row>
      <xdr:rowOff>117000</xdr:rowOff>
    </xdr:to>
    <xdr:sp>
      <xdr:nvSpPr>
        <xdr:cNvPr id="1" name="CaixaDeTexto 5"/>
        <xdr:cNvSpPr/>
      </xdr:nvSpPr>
      <xdr:spPr>
        <a:xfrm>
          <a:off x="18286920" y="19080"/>
          <a:ext cx="6871320" cy="12477960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Equação C/N Modificada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Ref: Response Surface Methodology to Optimize Methane Production from Mesophilic Anaerobic Co-Digestion of Oily-Biological Sludge and Sugarcane Bagasse;  Aiban Abdulhakim Saeed Ghaleb et. al.; Sustainability 2020, 12, 2116; doi:10.3390/su12052116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 = [𝑄1(𝐶1*(100−𝑀1)+𝑄2(𝐶2*(100−𝑀2)] / [𝑄1(𝑁1*(100−𝑀1)+𝑄2(𝑁2*(100−𝑀2)]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R= C/N ratio;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Q1, Q2= mass of materials “as is” or wet weight;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C1, C2= carbon content of materials (%);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N1, N2= nitrogen content of materials (%);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M1, M2= moisture content of materials.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C×(100−M) = TC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N×(100−M) = TN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R​ = [TC1*​V1​+TC2*​V2​+…​] / [TN1​*V1​+TN2*​V2​+…]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TC1*​V1​+TC2*​V2​=R(TN1*​V1​+TN2*​V2​)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TC1*​V1​−R*​TN1*​V1​=R*​TN2*​V2​−TC2*​V2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V1​(TC1​−R*​TN1​)=V2​(R*​TN2​−TC2​)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V1/V2 = [R*TN2-TC2] / [TC1-R*TN1]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V1/V2 = VR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 = VR*V2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V2 = V1/VR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C1 v1 = c2 v2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16920</xdr:colOff>
      <xdr:row>0</xdr:row>
      <xdr:rowOff>0</xdr:rowOff>
    </xdr:from>
    <xdr:to>
      <xdr:col>19</xdr:col>
      <xdr:colOff>312480</xdr:colOff>
      <xdr:row>20</xdr:row>
      <xdr:rowOff>29520</xdr:rowOff>
    </xdr:to>
    <xdr:graphicFrame>
      <xdr:nvGraphicFramePr>
        <xdr:cNvPr id="2" name="Gráfico 1"/>
        <xdr:cNvGraphicFramePr/>
      </xdr:nvGraphicFramePr>
      <xdr:xfrm>
        <a:off x="15562440" y="0"/>
        <a:ext cx="5172120" cy="328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21600</xdr:colOff>
      <xdr:row>0</xdr:row>
      <xdr:rowOff>0</xdr:rowOff>
    </xdr:from>
    <xdr:to>
      <xdr:col>8</xdr:col>
      <xdr:colOff>411480</xdr:colOff>
      <xdr:row>19</xdr:row>
      <xdr:rowOff>135360</xdr:rowOff>
    </xdr:to>
    <xdr:graphicFrame>
      <xdr:nvGraphicFramePr>
        <xdr:cNvPr id="3" name="Gráfico 2"/>
        <xdr:cNvGraphicFramePr/>
      </xdr:nvGraphicFramePr>
      <xdr:xfrm>
        <a:off x="4300200" y="0"/>
        <a:ext cx="5153760" cy="322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25920</xdr:colOff>
      <xdr:row>24</xdr:row>
      <xdr:rowOff>25200</xdr:rowOff>
    </xdr:from>
    <xdr:to>
      <xdr:col>8</xdr:col>
      <xdr:colOff>413640</xdr:colOff>
      <xdr:row>43</xdr:row>
      <xdr:rowOff>160560</xdr:rowOff>
    </xdr:to>
    <xdr:graphicFrame>
      <xdr:nvGraphicFramePr>
        <xdr:cNvPr id="4" name="Gráfico 3"/>
        <xdr:cNvGraphicFramePr/>
      </xdr:nvGraphicFramePr>
      <xdr:xfrm>
        <a:off x="4304520" y="3926520"/>
        <a:ext cx="5151600" cy="322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36000</xdr:colOff>
      <xdr:row>24</xdr:row>
      <xdr:rowOff>23760</xdr:rowOff>
    </xdr:from>
    <xdr:to>
      <xdr:col>19</xdr:col>
      <xdr:colOff>279720</xdr:colOff>
      <xdr:row>43</xdr:row>
      <xdr:rowOff>159840</xdr:rowOff>
    </xdr:to>
    <xdr:graphicFrame>
      <xdr:nvGraphicFramePr>
        <xdr:cNvPr id="5" name="Gráfico 4"/>
        <xdr:cNvGraphicFramePr/>
      </xdr:nvGraphicFramePr>
      <xdr:xfrm>
        <a:off x="15581520" y="3925080"/>
        <a:ext cx="5120280" cy="3224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9" min="8" style="0" width="15.06"/>
    <col collapsed="false" customWidth="true" hidden="false" outlineLevel="0" max="10" min="10" style="0" width="19.93"/>
    <col collapsed="false" customWidth="true" hidden="false" outlineLevel="0" max="11" min="11" style="0" width="14.51"/>
    <col collapsed="false" customWidth="true" hidden="false" outlineLevel="0" max="12" min="12" style="0" width="13.68"/>
    <col collapsed="false" customWidth="true" hidden="false" outlineLevel="0" max="13" min="13" style="0" width="15.06"/>
    <col collapsed="false" customWidth="true" hidden="false" outlineLevel="0" max="14" min="14" style="0" width="14.19"/>
    <col collapsed="false" customWidth="true" hidden="false" outlineLevel="0" max="18" min="18" style="0" width="13.91"/>
    <col collapsed="false" customWidth="true" hidden="false" outlineLevel="0" max="19" min="19" style="0" width="12.24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2.8" hidden="false" customHeight="false" outlineLevel="0" collapsed="false">
      <c r="A2" s="2" t="s">
        <v>1</v>
      </c>
      <c r="B2" s="2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customFormat="false" ht="12.8" hidden="false" customHeight="false" outlineLevel="0" collapsed="false">
      <c r="A3" s="3" t="s">
        <v>10</v>
      </c>
      <c r="B3" s="4" t="n">
        <v>1</v>
      </c>
      <c r="C3" s="5" t="n">
        <v>136</v>
      </c>
      <c r="D3" s="5" t="n">
        <v>235</v>
      </c>
      <c r="E3" s="5" t="n">
        <f aca="false">D3-C3</f>
        <v>99</v>
      </c>
      <c r="F3" s="5" t="n">
        <f aca="false">E3/$C$9</f>
        <v>0.0991775277747167</v>
      </c>
      <c r="G3" s="5" t="n">
        <v>242</v>
      </c>
      <c r="H3" s="5" t="n">
        <f aca="false">G3-C3</f>
        <v>106</v>
      </c>
      <c r="I3" s="5" t="n">
        <f aca="false">H3/F3</f>
        <v>1068.79050505051</v>
      </c>
      <c r="J3" s="6" t="n">
        <f aca="false">MEDIAN(I3:I4)</f>
        <v>1068.43760252525</v>
      </c>
    </row>
    <row r="4" customFormat="false" ht="12.8" hidden="false" customHeight="false" outlineLevel="0" collapsed="false">
      <c r="A4" s="3"/>
      <c r="B4" s="4" t="n">
        <v>2</v>
      </c>
      <c r="C4" s="7" t="n">
        <v>116</v>
      </c>
      <c r="D4" s="7" t="n">
        <v>216</v>
      </c>
      <c r="E4" s="7" t="n">
        <f aca="false">D4-C4</f>
        <v>100</v>
      </c>
      <c r="F4" s="7" t="n">
        <f aca="false">E4/$C$9</f>
        <v>0.100179320984562</v>
      </c>
      <c r="G4" s="7" t="n">
        <v>223</v>
      </c>
      <c r="H4" s="7" t="n">
        <f aca="false">G4-C4</f>
        <v>107</v>
      </c>
      <c r="I4" s="7" t="n">
        <f aca="false">H4/F4</f>
        <v>1068.0847</v>
      </c>
      <c r="J4" s="6"/>
    </row>
    <row r="5" customFormat="false" ht="12.8" hidden="false" customHeight="false" outlineLevel="0" collapsed="false">
      <c r="A5" s="8" t="s">
        <v>11</v>
      </c>
      <c r="B5" s="9" t="n">
        <v>1</v>
      </c>
      <c r="C5" s="10" t="n">
        <v>114.21</v>
      </c>
      <c r="D5" s="10" t="n">
        <v>213.96</v>
      </c>
      <c r="E5" s="10" t="n">
        <f aca="false">D5-C5</f>
        <v>99.75</v>
      </c>
      <c r="F5" s="10" t="n">
        <f aca="false">E5/$C$9</f>
        <v>0.099928872682101</v>
      </c>
      <c r="G5" s="10" t="n">
        <v>203.47</v>
      </c>
      <c r="H5" s="10" t="n">
        <f aca="false">G5-C5</f>
        <v>89.26</v>
      </c>
      <c r="I5" s="10" t="n">
        <f aca="false">H5/F5</f>
        <v>893.23533433584</v>
      </c>
      <c r="J5" s="11" t="n">
        <f aca="false">MEDIAN(I5:I6)</f>
        <v>893.074035663281</v>
      </c>
    </row>
    <row r="6" customFormat="false" ht="12.8" hidden="false" customHeight="false" outlineLevel="0" collapsed="false">
      <c r="A6" s="8"/>
      <c r="B6" s="12" t="n">
        <v>2</v>
      </c>
      <c r="C6" s="13" t="n">
        <v>115.74</v>
      </c>
      <c r="D6" s="13" t="n">
        <v>214.9</v>
      </c>
      <c r="E6" s="13" t="n">
        <f aca="false">D6-C6</f>
        <v>99.16</v>
      </c>
      <c r="F6" s="13" t="n">
        <f aca="false">E6/$C$9</f>
        <v>0.099337814688292</v>
      </c>
      <c r="G6" s="13" t="n">
        <v>204.44</v>
      </c>
      <c r="H6" s="13" t="n">
        <f aca="false">G6-C6</f>
        <v>88.7</v>
      </c>
      <c r="I6" s="13" t="n">
        <f aca="false">H6/F6</f>
        <v>892.912736990722</v>
      </c>
      <c r="J6" s="11"/>
    </row>
    <row r="7" customFormat="false" ht="12.8" hidden="false" customHeight="false" outlineLevel="0" collapsed="false">
      <c r="A7" s="14" t="s">
        <v>12</v>
      </c>
      <c r="B7" s="15" t="n">
        <v>1</v>
      </c>
      <c r="C7" s="16" t="n">
        <v>136</v>
      </c>
      <c r="D7" s="16" t="n">
        <v>235</v>
      </c>
      <c r="E7" s="16" t="n">
        <f aca="false">D7-C7</f>
        <v>99</v>
      </c>
      <c r="F7" s="16" t="n">
        <f aca="false">E7/$C$9</f>
        <v>0.0991775277747167</v>
      </c>
      <c r="G7" s="16" t="n">
        <v>242</v>
      </c>
      <c r="H7" s="16" t="n">
        <f aca="false">G7-C7</f>
        <v>106</v>
      </c>
      <c r="I7" s="16" t="n">
        <f aca="false">H7/F7</f>
        <v>1068.79050505051</v>
      </c>
      <c r="J7" s="17" t="n">
        <f aca="false">MEDIAN(I7:I8)</f>
        <v>1068.43760252525</v>
      </c>
    </row>
    <row r="8" customFormat="false" ht="12.8" hidden="false" customHeight="false" outlineLevel="0" collapsed="false">
      <c r="A8" s="14"/>
      <c r="B8" s="18" t="n">
        <v>2</v>
      </c>
      <c r="C8" s="19" t="n">
        <v>116</v>
      </c>
      <c r="D8" s="19" t="n">
        <v>216</v>
      </c>
      <c r="E8" s="19" t="n">
        <f aca="false">D8-C8</f>
        <v>100</v>
      </c>
      <c r="F8" s="19" t="n">
        <f aca="false">E8/$C$9</f>
        <v>0.100179320984562</v>
      </c>
      <c r="G8" s="19" t="n">
        <v>223</v>
      </c>
      <c r="H8" s="19" t="n">
        <f aca="false">G8-C8</f>
        <v>107</v>
      </c>
      <c r="I8" s="19" t="n">
        <f aca="false">H8/F8</f>
        <v>1068.0847</v>
      </c>
      <c r="J8" s="17"/>
    </row>
    <row r="9" customFormat="false" ht="12.8" hidden="false" customHeight="false" outlineLevel="0" collapsed="false">
      <c r="A9" s="20" t="s">
        <v>13</v>
      </c>
      <c r="B9" s="20"/>
      <c r="C9" s="21" t="n">
        <v>998.21</v>
      </c>
      <c r="D9" s="22"/>
      <c r="E9" s="22"/>
      <c r="F9" s="22"/>
      <c r="G9" s="22"/>
      <c r="H9" s="22"/>
      <c r="I9" s="22"/>
      <c r="J9" s="22"/>
    </row>
    <row r="10" customFormat="false" ht="12.8" hidden="false" customHeight="false" outlineLevel="0" collapsed="false">
      <c r="D10" s="22"/>
      <c r="E10" s="22"/>
      <c r="F10" s="22"/>
      <c r="G10" s="22"/>
      <c r="H10" s="22"/>
      <c r="I10" s="22"/>
      <c r="J10" s="22"/>
    </row>
    <row r="12" customFormat="false" ht="12.8" hidden="false" customHeight="false" outlineLevel="0" collapsed="false">
      <c r="A12" s="23" t="s">
        <v>14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customFormat="false" ht="12.8" hidden="false" customHeight="false" outlineLevel="0" collapsed="false">
      <c r="A13" s="2" t="s">
        <v>1</v>
      </c>
      <c r="B13" s="2"/>
      <c r="C13" s="2" t="s">
        <v>2</v>
      </c>
      <c r="D13" s="2" t="s">
        <v>3</v>
      </c>
      <c r="E13" s="2" t="s">
        <v>15</v>
      </c>
      <c r="F13" s="2" t="s">
        <v>16</v>
      </c>
      <c r="G13" s="2" t="s">
        <v>6</v>
      </c>
      <c r="H13" s="2" t="s">
        <v>17</v>
      </c>
      <c r="I13" s="2" t="s">
        <v>18</v>
      </c>
      <c r="J13" s="2" t="s">
        <v>19</v>
      </c>
      <c r="K13" s="2" t="s">
        <v>20</v>
      </c>
      <c r="L13" s="2" t="s">
        <v>21</v>
      </c>
      <c r="M13" s="2" t="s">
        <v>22</v>
      </c>
      <c r="N13" s="2" t="s">
        <v>23</v>
      </c>
      <c r="O13" s="2" t="s">
        <v>24</v>
      </c>
      <c r="P13" s="2" t="s">
        <v>25</v>
      </c>
      <c r="Q13" s="2" t="s">
        <v>26</v>
      </c>
      <c r="R13" s="2" t="s">
        <v>27</v>
      </c>
      <c r="S13" s="2" t="s">
        <v>28</v>
      </c>
      <c r="T13" s="2" t="s">
        <v>29</v>
      </c>
    </row>
    <row r="14" customFormat="false" ht="12.8" hidden="false" customHeight="false" outlineLevel="0" collapsed="false">
      <c r="A14" s="24" t="s">
        <v>10</v>
      </c>
      <c r="B14" s="25" t="n">
        <v>1</v>
      </c>
      <c r="C14" s="5" t="n">
        <v>78.731</v>
      </c>
      <c r="D14" s="26" t="n">
        <f aca="false">105.9875</f>
        <v>105.9875</v>
      </c>
      <c r="E14" s="5" t="n">
        <f aca="false">D14-C14</f>
        <v>27.2565</v>
      </c>
      <c r="F14" s="5" t="n">
        <f aca="false">E14/$J$3</f>
        <v>0.0255106146915639</v>
      </c>
      <c r="G14" s="26" t="n">
        <v>91.0021</v>
      </c>
      <c r="H14" s="5" t="n">
        <f aca="false">((G14-C14))/(F14)</f>
        <v>481.019377555724</v>
      </c>
      <c r="I14" s="5" t="n">
        <f aca="false">MEDIAN(H14:H16)</f>
        <v>536.399752703559</v>
      </c>
      <c r="J14" s="5" t="n">
        <f aca="false">((G14-C14)*100)/(D14-C14)</f>
        <v>45.0208207216627</v>
      </c>
      <c r="K14" s="5" t="n">
        <f aca="false">MEDIAN(J14:J16)</f>
        <v>50.2041252980781</v>
      </c>
      <c r="L14" s="26" t="n">
        <v>79.2024</v>
      </c>
      <c r="M14" s="5" t="n">
        <f aca="false">(G14-L14)/F14</f>
        <v>462.540794985313</v>
      </c>
      <c r="N14" s="5" t="n">
        <f aca="false">MEDIAN(M14:M16)</f>
        <v>520.806779510476</v>
      </c>
      <c r="O14" s="5" t="n">
        <f aca="false">((G14-L14)*100)/(G14-C14)</f>
        <v>96.1584536023665</v>
      </c>
      <c r="P14" s="5" t="n">
        <f aca="false">MEDIAN(O14:O16)</f>
        <v>96.2398284236423</v>
      </c>
      <c r="Q14" s="5" t="n">
        <f aca="false">(L14-C14)/F14</f>
        <v>18.4785825704109</v>
      </c>
      <c r="R14" s="5" t="n">
        <f aca="false">MEDIAN(Q14:Q16)</f>
        <v>18.4785825704109</v>
      </c>
      <c r="S14" s="5" t="n">
        <f aca="false">((L14-C14)*100)/(G14-C14)</f>
        <v>3.84154639763349</v>
      </c>
      <c r="T14" s="5" t="n">
        <f aca="false">MEDIAN(S14:S16)</f>
        <v>3.76017157635774</v>
      </c>
    </row>
    <row r="15" customFormat="false" ht="12.8" hidden="false" customHeight="false" outlineLevel="0" collapsed="false">
      <c r="A15" s="24"/>
      <c r="B15" s="4" t="n">
        <v>2</v>
      </c>
      <c r="C15" s="27" t="n">
        <v>84.3206</v>
      </c>
      <c r="D15" s="28" t="n">
        <f aca="false">113.2979</f>
        <v>113.2979</v>
      </c>
      <c r="E15" s="27" t="n">
        <f aca="false">D15-C15</f>
        <v>28.9773</v>
      </c>
      <c r="F15" s="27" t="n">
        <f aca="false">E15/$J$3</f>
        <v>0.0271211907288851</v>
      </c>
      <c r="G15" s="28" t="n">
        <v>98.8684</v>
      </c>
      <c r="H15" s="27" t="n">
        <f aca="false">((G15-C15))/(F15)</f>
        <v>536.399752703559</v>
      </c>
      <c r="I15" s="5"/>
      <c r="J15" s="27" t="n">
        <f aca="false">((G15-C15)*100)/(D15-C15)</f>
        <v>50.2041252980781</v>
      </c>
      <c r="K15" s="5"/>
      <c r="L15" s="28" t="n">
        <v>84.7435</v>
      </c>
      <c r="M15" s="27" t="n">
        <f aca="false">(G15-L15)/F15</f>
        <v>520.806779510476</v>
      </c>
      <c r="N15" s="5"/>
      <c r="O15" s="27" t="n">
        <f aca="false">((G15-L15)*100)/(G15-C15)</f>
        <v>97.0930312487112</v>
      </c>
      <c r="P15" s="5"/>
      <c r="Q15" s="27" t="n">
        <f aca="false">(L15-C15)/F15</f>
        <v>15.5929731930831</v>
      </c>
      <c r="R15" s="5"/>
      <c r="S15" s="27" t="n">
        <f aca="false">((L15-C15)*100)/(G15-C15)</f>
        <v>2.90696875128885</v>
      </c>
      <c r="T15" s="5"/>
    </row>
    <row r="16" customFormat="false" ht="12.8" hidden="false" customHeight="false" outlineLevel="0" collapsed="false">
      <c r="A16" s="24"/>
      <c r="B16" s="4" t="n">
        <v>3</v>
      </c>
      <c r="C16" s="27" t="n">
        <v>77.5887</v>
      </c>
      <c r="D16" s="28" t="n">
        <f aca="false">108.8399</f>
        <v>108.8399</v>
      </c>
      <c r="E16" s="27" t="n">
        <f aca="false">D16-C16</f>
        <v>31.2512</v>
      </c>
      <c r="F16" s="27" t="n">
        <f aca="false">E16/$J$3</f>
        <v>0.0292494385504009</v>
      </c>
      <c r="G16" s="28" t="n">
        <v>93.4417</v>
      </c>
      <c r="H16" s="27" t="n">
        <f aca="false">((G16-C16))/(F16)</f>
        <v>541.993309467566</v>
      </c>
      <c r="I16" s="5"/>
      <c r="J16" s="27" t="n">
        <f aca="false">((G16-C16)*100)/(D16-C16)</f>
        <v>50.727652058161</v>
      </c>
      <c r="K16" s="5"/>
      <c r="L16" s="28" t="n">
        <v>78.1848</v>
      </c>
      <c r="M16" s="27" t="n">
        <f aca="false">(G16-L16)/F16</f>
        <v>521.613431099205</v>
      </c>
      <c r="N16" s="5"/>
      <c r="O16" s="27" t="n">
        <f aca="false">((G16-L16)*100)/(G16-C16)</f>
        <v>96.2398284236423</v>
      </c>
      <c r="P16" s="5"/>
      <c r="Q16" s="27" t="n">
        <f aca="false">(L16-C16)/F16</f>
        <v>20.3798783683601</v>
      </c>
      <c r="R16" s="5"/>
      <c r="S16" s="27" t="n">
        <f aca="false">((L16-C16)*100)/(G16-C16)</f>
        <v>3.76017157635774</v>
      </c>
      <c r="T16" s="5"/>
    </row>
    <row r="17" customFormat="false" ht="12.8" hidden="false" customHeight="false" outlineLevel="0" collapsed="false">
      <c r="A17" s="8" t="s">
        <v>11</v>
      </c>
      <c r="B17" s="9" t="n">
        <v>1</v>
      </c>
      <c r="C17" s="10" t="n">
        <v>84.2193</v>
      </c>
      <c r="D17" s="29" t="n">
        <f aca="false">88.6434</f>
        <v>88.6434</v>
      </c>
      <c r="E17" s="10" t="n">
        <f aca="false">D17-C17</f>
        <v>4.4241</v>
      </c>
      <c r="F17" s="10" t="n">
        <f aca="false">E17/$J$5</f>
        <v>0.00495378862594997</v>
      </c>
      <c r="G17" s="29" t="n">
        <v>88.4966</v>
      </c>
      <c r="H17" s="10" t="n">
        <f aca="false">((G17-C17))/(F17)</f>
        <v>863.440151159004</v>
      </c>
      <c r="I17" s="11" t="n">
        <f aca="false">MEDIAN(H17:H19)</f>
        <v>867.723994290837</v>
      </c>
      <c r="J17" s="10" t="n">
        <f aca="false">((G17-C17)*100)/(D17-C17)</f>
        <v>96.6818109898059</v>
      </c>
      <c r="K17" s="11" t="n">
        <f aca="false">MEDIAN(J17:J19)</f>
        <v>97.1614848982126</v>
      </c>
      <c r="L17" s="29" t="n">
        <v>84.2144</v>
      </c>
      <c r="M17" s="10" t="n">
        <f aca="false">(G17-L17)/F17</f>
        <v>864.42929308047</v>
      </c>
      <c r="N17" s="11" t="n">
        <f aca="false">MEDIAN(M17:M19)</f>
        <v>868.654816122481</v>
      </c>
      <c r="O17" s="10" t="n">
        <f aca="false">((G17-L17)*100)/(G17-C17)</f>
        <v>100.114558249363</v>
      </c>
      <c r="P17" s="11" t="n">
        <f aca="false">MEDIAN(O17:O19)</f>
        <v>100.114558249363</v>
      </c>
      <c r="Q17" s="10" t="n">
        <f aca="false">(L17-C17)/F17</f>
        <v>-0.989141921465551</v>
      </c>
      <c r="R17" s="11" t="n">
        <f aca="false">MEDIAN(Q17:Q19)</f>
        <v>-0.989141921465551</v>
      </c>
      <c r="S17" s="10" t="n">
        <f aca="false">((L17-C17)*100)/(G17-C17)</f>
        <v>-0.114558249363064</v>
      </c>
      <c r="T17" s="11" t="n">
        <f aca="false">MEDIAN(S17:S19)</f>
        <v>-0.114558249363064</v>
      </c>
    </row>
    <row r="18" customFormat="false" ht="12.8" hidden="false" customHeight="false" outlineLevel="0" collapsed="false">
      <c r="A18" s="8"/>
      <c r="B18" s="30" t="n">
        <v>2</v>
      </c>
      <c r="C18" s="31" t="n">
        <v>73.478</v>
      </c>
      <c r="D18" s="32" t="n">
        <f aca="false">77.9874</f>
        <v>77.9874</v>
      </c>
      <c r="E18" s="31" t="n">
        <f aca="false">D18-C18</f>
        <v>4.5094</v>
      </c>
      <c r="F18" s="31" t="n">
        <f aca="false">E18/$J$5</f>
        <v>0.00504930142398653</v>
      </c>
      <c r="G18" s="32" t="n">
        <v>77.8594</v>
      </c>
      <c r="H18" s="31" t="n">
        <f aca="false">((G18-C18))/(F18)</f>
        <v>867.723994290837</v>
      </c>
      <c r="I18" s="11"/>
      <c r="J18" s="31" t="n">
        <f aca="false">((G18-C18)*100)/(D18-C18)</f>
        <v>97.1614848982126</v>
      </c>
      <c r="K18" s="11"/>
      <c r="L18" s="32" t="n">
        <v>73.4733</v>
      </c>
      <c r="M18" s="31" t="n">
        <f aca="false">(G18-L18)/F18</f>
        <v>868.654816122481</v>
      </c>
      <c r="N18" s="11"/>
      <c r="O18" s="31" t="n">
        <f aca="false">((G18-L18)*100)/(G18-C18)</f>
        <v>100.107271648332</v>
      </c>
      <c r="P18" s="11"/>
      <c r="Q18" s="31" t="n">
        <f aca="false">(L18-C18)/F18</f>
        <v>-0.930821831644378</v>
      </c>
      <c r="R18" s="11"/>
      <c r="S18" s="31" t="n">
        <f aca="false">((L18-C18)*100)/(G18-C18)</f>
        <v>-0.107271648331577</v>
      </c>
      <c r="T18" s="11"/>
    </row>
    <row r="19" customFormat="false" ht="12.8" hidden="false" customHeight="false" outlineLevel="0" collapsed="false">
      <c r="A19" s="8"/>
      <c r="B19" s="12" t="n">
        <v>3</v>
      </c>
      <c r="C19" s="13" t="n">
        <v>86.2012</v>
      </c>
      <c r="D19" s="33" t="n">
        <f aca="false">90.6107</f>
        <v>90.6107</v>
      </c>
      <c r="E19" s="13" t="n">
        <f aca="false">D19-C19</f>
        <v>4.40949999999999</v>
      </c>
      <c r="F19" s="13" t="n">
        <f aca="false">E19/$J$5</f>
        <v>0.00493744059721217</v>
      </c>
      <c r="G19" s="33" t="n">
        <v>90.5034</v>
      </c>
      <c r="H19" s="13" t="n">
        <f aca="false">((G19-C19))/(F19)</f>
        <v>871.342128638298</v>
      </c>
      <c r="I19" s="11"/>
      <c r="J19" s="13" t="n">
        <f aca="false">((G19-C19)*100)/(D19-C19)</f>
        <v>97.5666175303324</v>
      </c>
      <c r="K19" s="11"/>
      <c r="L19" s="33" t="n">
        <v>86.1958</v>
      </c>
      <c r="M19" s="13" t="n">
        <f aca="false">(G19-L19)/F19</f>
        <v>872.435812682425</v>
      </c>
      <c r="N19" s="11"/>
      <c r="O19" s="13" t="n">
        <f aca="false">((G19-L19)*100)/(G19-C19)</f>
        <v>100.125517177258</v>
      </c>
      <c r="P19" s="11"/>
      <c r="Q19" s="13" t="n">
        <f aca="false">(L19-C19)/F19</f>
        <v>-1.09368404412673</v>
      </c>
      <c r="R19" s="11"/>
      <c r="S19" s="13" t="n">
        <f aca="false">((L19-C19)*100)/(G19-C19)</f>
        <v>-0.12551717725802</v>
      </c>
      <c r="T19" s="11"/>
    </row>
    <row r="20" customFormat="false" ht="12.8" hidden="false" customHeight="false" outlineLevel="0" collapsed="false">
      <c r="A20" s="14" t="s">
        <v>12</v>
      </c>
      <c r="B20" s="15" t="n">
        <v>1</v>
      </c>
      <c r="C20" s="16" t="n">
        <v>78.731</v>
      </c>
      <c r="D20" s="34" t="n">
        <f aca="false">105.9875</f>
        <v>105.9875</v>
      </c>
      <c r="E20" s="16" t="n">
        <f aca="false">D20-C20</f>
        <v>27.2565</v>
      </c>
      <c r="F20" s="16" t="n">
        <f aca="false">E20/$J$7</f>
        <v>0.0255106146915639</v>
      </c>
      <c r="G20" s="34" t="n">
        <v>91.0021</v>
      </c>
      <c r="H20" s="16" t="n">
        <f aca="false">((G20-C20))/(F20)</f>
        <v>481.019377555724</v>
      </c>
      <c r="I20" s="17" t="n">
        <f aca="false">MEDIAN(H20:H22)</f>
        <v>536.399752703559</v>
      </c>
      <c r="J20" s="35" t="n">
        <f aca="false">((G20-C20)*100)/(D20-C20)</f>
        <v>45.0208207216627</v>
      </c>
      <c r="K20" s="19" t="n">
        <f aca="false">MEDIAN(J20:J22)</f>
        <v>50.2041252980781</v>
      </c>
      <c r="L20" s="34" t="n">
        <v>79.2024</v>
      </c>
      <c r="M20" s="16" t="n">
        <f aca="false">(G20-L20)/F20</f>
        <v>462.540794985313</v>
      </c>
      <c r="N20" s="17" t="n">
        <f aca="false">MEDIAN(M20:M22)</f>
        <v>520.806779510476</v>
      </c>
      <c r="O20" s="35" t="n">
        <f aca="false">((G20-L20)*100)/(G20-C20)</f>
        <v>96.1584536023665</v>
      </c>
      <c r="P20" s="19" t="n">
        <f aca="false">MEDIAN(O20:O22)</f>
        <v>96.2398284236423</v>
      </c>
      <c r="Q20" s="16" t="n">
        <f aca="false">(L20-C20)/F20</f>
        <v>18.4785825704109</v>
      </c>
      <c r="R20" s="17" t="n">
        <f aca="false">MEDIAN(Q20:Q22)</f>
        <v>18.4785825704109</v>
      </c>
      <c r="S20" s="35" t="n">
        <f aca="false">((L20-C20)*100)/(G20-C20)</f>
        <v>3.84154639763349</v>
      </c>
      <c r="T20" s="19" t="n">
        <f aca="false">MEDIAN(S20:S22)</f>
        <v>3.76017157635774</v>
      </c>
    </row>
    <row r="21" customFormat="false" ht="12.8" hidden="false" customHeight="false" outlineLevel="0" collapsed="false">
      <c r="A21" s="14"/>
      <c r="B21" s="36" t="n">
        <v>2</v>
      </c>
      <c r="C21" s="35" t="n">
        <v>84.3206</v>
      </c>
      <c r="D21" s="37" t="n">
        <f aca="false">113.2979</f>
        <v>113.2979</v>
      </c>
      <c r="E21" s="35" t="n">
        <f aca="false">D21-C21</f>
        <v>28.9773</v>
      </c>
      <c r="F21" s="35" t="n">
        <f aca="false">E21/$J$7</f>
        <v>0.0271211907288851</v>
      </c>
      <c r="G21" s="37" t="n">
        <v>98.8684</v>
      </c>
      <c r="H21" s="35" t="n">
        <f aca="false">((G21-C21))/(F21)</f>
        <v>536.399752703559</v>
      </c>
      <c r="I21" s="17"/>
      <c r="J21" s="35" t="n">
        <f aca="false">((G21-C21)*100)/(D21-C21)</f>
        <v>50.2041252980781</v>
      </c>
      <c r="K21" s="19"/>
      <c r="L21" s="37" t="n">
        <v>84.7435</v>
      </c>
      <c r="M21" s="35" t="n">
        <f aca="false">(G21-L21)/F21</f>
        <v>520.806779510476</v>
      </c>
      <c r="N21" s="17"/>
      <c r="O21" s="35" t="n">
        <f aca="false">((G21-L21)*100)/(G21-C21)</f>
        <v>97.0930312487112</v>
      </c>
      <c r="P21" s="19"/>
      <c r="Q21" s="35" t="n">
        <f aca="false">(L21-C21)/F21</f>
        <v>15.5929731930831</v>
      </c>
      <c r="R21" s="17"/>
      <c r="S21" s="35" t="n">
        <f aca="false">((L21-C21)*100)/(G21-C21)</f>
        <v>2.90696875128885</v>
      </c>
      <c r="T21" s="19"/>
    </row>
    <row r="22" customFormat="false" ht="12.8" hidden="false" customHeight="false" outlineLevel="0" collapsed="false">
      <c r="A22" s="14"/>
      <c r="B22" s="18" t="n">
        <v>3</v>
      </c>
      <c r="C22" s="19" t="n">
        <v>77.5887</v>
      </c>
      <c r="D22" s="38" t="n">
        <f aca="false">108.8399</f>
        <v>108.8399</v>
      </c>
      <c r="E22" s="19" t="n">
        <f aca="false">D22-C22</f>
        <v>31.2512</v>
      </c>
      <c r="F22" s="19" t="n">
        <f aca="false">E22/$J$7</f>
        <v>0.0292494385504009</v>
      </c>
      <c r="G22" s="38" t="n">
        <v>93.4417</v>
      </c>
      <c r="H22" s="19" t="n">
        <f aca="false">((G22-C22))/(F22)</f>
        <v>541.993309467566</v>
      </c>
      <c r="I22" s="17"/>
      <c r="J22" s="19" t="n">
        <f aca="false">((G22-C22)*100)/(D22-C22)</f>
        <v>50.727652058161</v>
      </c>
      <c r="K22" s="19"/>
      <c r="L22" s="38" t="n">
        <v>78.1848</v>
      </c>
      <c r="M22" s="19" t="n">
        <f aca="false">(G22-L22)/F22</f>
        <v>521.613431099205</v>
      </c>
      <c r="N22" s="17"/>
      <c r="O22" s="19" t="n">
        <f aca="false">((G22-L22)*100)/(G22-C22)</f>
        <v>96.2398284236423</v>
      </c>
      <c r="P22" s="19"/>
      <c r="Q22" s="19" t="n">
        <f aca="false">(L22-C22)/F22</f>
        <v>20.3798783683601</v>
      </c>
      <c r="R22" s="17"/>
      <c r="S22" s="19" t="n">
        <f aca="false">((L22-C22)*100)/(G22-C22)</f>
        <v>3.76017157635774</v>
      </c>
      <c r="T22" s="19"/>
    </row>
    <row r="26" customFormat="false" ht="12.8" hidden="false" customHeight="false" outlineLevel="0" collapsed="false">
      <c r="A26" s="2" t="s">
        <v>30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customFormat="false" ht="12.8" hidden="false" customHeight="false" outlineLevel="0" collapsed="false">
      <c r="A27" s="2" t="s">
        <v>1</v>
      </c>
      <c r="B27" s="2"/>
      <c r="C27" s="2" t="s">
        <v>31</v>
      </c>
      <c r="D27" s="2" t="s">
        <v>32</v>
      </c>
      <c r="E27" s="2" t="s">
        <v>33</v>
      </c>
      <c r="F27" s="2" t="s">
        <v>34</v>
      </c>
      <c r="G27" s="2" t="s">
        <v>35</v>
      </c>
      <c r="H27" s="2" t="s">
        <v>32</v>
      </c>
      <c r="I27" s="2" t="s">
        <v>36</v>
      </c>
      <c r="J27" s="2" t="s">
        <v>33</v>
      </c>
      <c r="K27" s="2" t="s">
        <v>37</v>
      </c>
      <c r="L27" s="2" t="s">
        <v>34</v>
      </c>
      <c r="M27" s="2" t="s">
        <v>38</v>
      </c>
    </row>
    <row r="28" customFormat="false" ht="12.8" hidden="false" customHeight="false" outlineLevel="0" collapsed="false">
      <c r="A28" s="3" t="s">
        <v>10</v>
      </c>
      <c r="B28" s="4" t="n">
        <v>1</v>
      </c>
      <c r="C28" s="39" t="n">
        <v>5.039</v>
      </c>
      <c r="D28" s="39" t="n">
        <v>5.044</v>
      </c>
      <c r="E28" s="39" t="n">
        <v>0.00562</v>
      </c>
      <c r="F28" s="39" t="n">
        <v>0.6891</v>
      </c>
      <c r="G28" s="40" t="n">
        <v>400</v>
      </c>
      <c r="H28" s="25" t="n">
        <f aca="false">D28*G28</f>
        <v>2017.6</v>
      </c>
      <c r="I28" s="41" t="n">
        <f aca="false">MEDIAN(H28:H29)</f>
        <v>1778.6</v>
      </c>
      <c r="J28" s="25" t="n">
        <f aca="false">E28*G28</f>
        <v>2.248</v>
      </c>
      <c r="K28" s="41" t="n">
        <f aca="false">MEDIAN(J28:J29)</f>
        <v>16.68</v>
      </c>
      <c r="L28" s="25" t="n">
        <f aca="false">F28*G28</f>
        <v>275.64</v>
      </c>
      <c r="M28" s="41" t="n">
        <f aca="false">MEDIAN(L28:L29)</f>
        <v>281.76</v>
      </c>
    </row>
    <row r="29" customFormat="false" ht="12.8" hidden="false" customHeight="false" outlineLevel="0" collapsed="false">
      <c r="A29" s="3"/>
      <c r="B29" s="4" t="n">
        <v>2</v>
      </c>
      <c r="C29" s="42" t="n">
        <v>3.927</v>
      </c>
      <c r="D29" s="42" t="n">
        <v>3.849</v>
      </c>
      <c r="E29" s="42" t="n">
        <v>0.07778</v>
      </c>
      <c r="F29" s="42" t="n">
        <v>0.7197</v>
      </c>
      <c r="G29" s="43" t="n">
        <v>400</v>
      </c>
      <c r="H29" s="44" t="n">
        <f aca="false">D29*G29</f>
        <v>1539.6</v>
      </c>
      <c r="I29" s="41"/>
      <c r="J29" s="44" t="n">
        <f aca="false">E29*G29</f>
        <v>31.112</v>
      </c>
      <c r="K29" s="41"/>
      <c r="L29" s="44" t="n">
        <f aca="false">F29*G29</f>
        <v>287.88</v>
      </c>
      <c r="M29" s="41"/>
    </row>
    <row r="30" customFormat="false" ht="12.8" hidden="false" customHeight="false" outlineLevel="0" collapsed="false">
      <c r="A30" s="8" t="s">
        <v>11</v>
      </c>
      <c r="B30" s="9" t="n">
        <v>1</v>
      </c>
      <c r="C30" s="45" t="n">
        <v>8.808</v>
      </c>
      <c r="D30" s="45" t="n">
        <v>8.812</v>
      </c>
      <c r="E30" s="45" t="n">
        <v>0.00431</v>
      </c>
      <c r="F30" s="45" t="n">
        <v>0.5875</v>
      </c>
      <c r="G30" s="46" t="n">
        <v>800</v>
      </c>
      <c r="H30" s="9" t="n">
        <f aca="false">D30*G30</f>
        <v>7049.6</v>
      </c>
      <c r="I30" s="8" t="n">
        <f aca="false">MEDIAN(H30:H31)</f>
        <v>5523.2</v>
      </c>
      <c r="J30" s="9" t="n">
        <f aca="false">E30*G30</f>
        <v>3.448</v>
      </c>
      <c r="K30" s="8" t="n">
        <f aca="false">MEDIAN(J30:J31)</f>
        <v>3.228</v>
      </c>
      <c r="L30" s="9" t="n">
        <f aca="false">F30*G30</f>
        <v>470</v>
      </c>
      <c r="M30" s="8" t="n">
        <f aca="false">MEDIAN(L30:L31)</f>
        <v>488.6</v>
      </c>
    </row>
    <row r="31" customFormat="false" ht="12.8" hidden="false" customHeight="false" outlineLevel="0" collapsed="false">
      <c r="A31" s="8"/>
      <c r="B31" s="12" t="n">
        <v>2</v>
      </c>
      <c r="C31" s="47" t="n">
        <v>4.992</v>
      </c>
      <c r="D31" s="47" t="n">
        <v>4.996</v>
      </c>
      <c r="E31" s="47" t="n">
        <v>0.00376</v>
      </c>
      <c r="F31" s="47" t="n">
        <v>0.634</v>
      </c>
      <c r="G31" s="48" t="n">
        <v>800</v>
      </c>
      <c r="H31" s="12" t="n">
        <f aca="false">D31*G31</f>
        <v>3996.8</v>
      </c>
      <c r="I31" s="8"/>
      <c r="J31" s="12" t="n">
        <f aca="false">E31*G31</f>
        <v>3.008</v>
      </c>
      <c r="K31" s="8"/>
      <c r="L31" s="12" t="n">
        <f aca="false">F31*G31</f>
        <v>507.2</v>
      </c>
      <c r="M31" s="8"/>
    </row>
  </sheetData>
  <mergeCells count="42">
    <mergeCell ref="A1:J1"/>
    <mergeCell ref="A2:B2"/>
    <mergeCell ref="A3:A4"/>
    <mergeCell ref="J3:J4"/>
    <mergeCell ref="A5:A6"/>
    <mergeCell ref="J5:J6"/>
    <mergeCell ref="A7:A8"/>
    <mergeCell ref="J7:J8"/>
    <mergeCell ref="A9:B9"/>
    <mergeCell ref="A12:T12"/>
    <mergeCell ref="A13:B13"/>
    <mergeCell ref="A14:A16"/>
    <mergeCell ref="I14:I16"/>
    <mergeCell ref="K14:K16"/>
    <mergeCell ref="N14:N16"/>
    <mergeCell ref="P14:P16"/>
    <mergeCell ref="R14:R16"/>
    <mergeCell ref="T14:T16"/>
    <mergeCell ref="A17:A19"/>
    <mergeCell ref="I17:I19"/>
    <mergeCell ref="K17:K19"/>
    <mergeCell ref="N17:N19"/>
    <mergeCell ref="P17:P19"/>
    <mergeCell ref="R17:R19"/>
    <mergeCell ref="T17:T19"/>
    <mergeCell ref="A20:A22"/>
    <mergeCell ref="I20:I22"/>
    <mergeCell ref="K20:K22"/>
    <mergeCell ref="N20:N22"/>
    <mergeCell ref="P20:P22"/>
    <mergeCell ref="R20:R22"/>
    <mergeCell ref="T20:T22"/>
    <mergeCell ref="A26:M26"/>
    <mergeCell ref="A27:B27"/>
    <mergeCell ref="A28:A29"/>
    <mergeCell ref="I28:I29"/>
    <mergeCell ref="K28:K29"/>
    <mergeCell ref="M28:M29"/>
    <mergeCell ref="A30:A31"/>
    <mergeCell ref="I30:I31"/>
    <mergeCell ref="K30:K31"/>
    <mergeCell ref="M30:M3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"/>
  <sheetViews>
    <sheetView showFormulas="false" showGridLines="true" showRowColHeaders="true" showZeros="true" rightToLeft="false" tabSelected="true" showOutlineSymbols="true" defaultGridColor="true" view="normal" topLeftCell="D48" colorId="64" zoomScale="100" zoomScaleNormal="100" zoomScalePageLayoutView="100" workbookViewId="0">
      <selection pane="topLeft" activeCell="I81" activeCellId="0" sqref="I8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49" width="11.53"/>
    <col collapsed="false" customWidth="true" hidden="false" outlineLevel="0" max="2" min="2" style="49" width="15.76"/>
    <col collapsed="false" customWidth="false" hidden="false" outlineLevel="0" max="5" min="3" style="49" width="11.53"/>
    <col collapsed="false" customWidth="true" hidden="false" outlineLevel="0" max="6" min="6" style="49" width="11.12"/>
    <col collapsed="false" customWidth="true" hidden="false" outlineLevel="0" max="9" min="9" style="0" width="17.01"/>
    <col collapsed="false" customWidth="true" hidden="false" outlineLevel="0" max="10" min="10" style="0" width="18.08"/>
    <col collapsed="false" customWidth="true" hidden="false" outlineLevel="0" max="11" min="11" style="0" width="18.54"/>
    <col collapsed="false" customWidth="true" hidden="false" outlineLevel="0" max="12" min="12" style="0" width="21.6"/>
    <col collapsed="false" customWidth="true" hidden="false" outlineLevel="0" max="13" min="13" style="0" width="14.79"/>
    <col collapsed="false" customWidth="true" hidden="false" outlineLevel="0" max="14" min="14" style="0" width="21.6"/>
    <col collapsed="false" customWidth="true" hidden="false" outlineLevel="0" max="15" min="15" style="0" width="13.22"/>
    <col collapsed="false" customWidth="true" hidden="false" outlineLevel="0" max="16" min="16" style="0" width="18.22"/>
  </cols>
  <sheetData>
    <row r="1" customFormat="false" ht="12.8" hidden="false" customHeight="false" outlineLevel="0" collapsed="false">
      <c r="A1" s="50" t="s">
        <v>39</v>
      </c>
      <c r="B1" s="50" t="s">
        <v>40</v>
      </c>
      <c r="C1" s="50" t="s">
        <v>41</v>
      </c>
      <c r="D1" s="50" t="s">
        <v>42</v>
      </c>
      <c r="E1" s="50" t="s">
        <v>17</v>
      </c>
      <c r="F1" s="50" t="s">
        <v>22</v>
      </c>
      <c r="I1" s="51"/>
      <c r="J1" s="52" t="s">
        <v>43</v>
      </c>
      <c r="K1" s="53" t="s">
        <v>44</v>
      </c>
      <c r="M1" s="54"/>
      <c r="N1" s="51"/>
      <c r="O1" s="52" t="s">
        <v>43</v>
      </c>
      <c r="P1" s="53" t="s">
        <v>44</v>
      </c>
    </row>
    <row r="2" customFormat="false" ht="12.8" hidden="false" customHeight="false" outlineLevel="0" collapsed="false">
      <c r="A2" s="55" t="s">
        <v>10</v>
      </c>
      <c r="B2" s="56" t="n">
        <f aca="false">Caracterizacao!J3</f>
        <v>1068.43760252525</v>
      </c>
      <c r="C2" s="55" t="n">
        <f aca="false">Caracterizacao!I28/1000</f>
        <v>1.7786</v>
      </c>
      <c r="D2" s="57" t="n">
        <f aca="false">Caracterizacao!M28/1000</f>
        <v>0.28176</v>
      </c>
      <c r="E2" s="58" t="n">
        <f aca="false">Caracterizacao!I14</f>
        <v>536.399752703559</v>
      </c>
      <c r="F2" s="56" t="n">
        <f aca="false">Caracterizacao!N14</f>
        <v>520.806779510476</v>
      </c>
      <c r="I2" s="59" t="s">
        <v>39</v>
      </c>
      <c r="J2" s="60" t="s">
        <v>10</v>
      </c>
      <c r="K2" s="61" t="s">
        <v>45</v>
      </c>
      <c r="M2" s="62"/>
      <c r="N2" s="59" t="s">
        <v>46</v>
      </c>
      <c r="O2" s="63" t="n">
        <v>1</v>
      </c>
      <c r="P2" s="64" t="n">
        <v>1</v>
      </c>
    </row>
    <row r="3" customFormat="false" ht="12.8" hidden="false" customHeight="false" outlineLevel="0" collapsed="false">
      <c r="A3" s="65" t="s">
        <v>47</v>
      </c>
      <c r="B3" s="66" t="n">
        <f aca="false">Caracterizacao!J5</f>
        <v>893.074035663281</v>
      </c>
      <c r="C3" s="65" t="n">
        <f aca="false">Caracterizacao!I30/1000</f>
        <v>5.5232</v>
      </c>
      <c r="D3" s="65" t="n">
        <f aca="false">Caracterizacao!M30/1000</f>
        <v>0.4886</v>
      </c>
      <c r="E3" s="66" t="n">
        <f aca="false">Caracterizacao!I17</f>
        <v>867.723994290837</v>
      </c>
      <c r="F3" s="66" t="n">
        <f aca="false">Caracterizacao!N17</f>
        <v>868.654816122481</v>
      </c>
      <c r="I3" s="67" t="s">
        <v>40</v>
      </c>
      <c r="J3" s="68" t="n">
        <f aca="false">INDEX($B$2:$B$100,MATCH($J$2,$A$2:$A$100,0))</f>
        <v>1068.43760252525</v>
      </c>
      <c r="K3" s="69" t="n">
        <f aca="false">INDEX($B$2:$B$100,MATCH($K$2,$A$2:$A$100,0))</f>
        <v>1540</v>
      </c>
      <c r="M3" s="62"/>
      <c r="N3" s="67" t="s">
        <v>48</v>
      </c>
      <c r="O3" s="68" t="n">
        <f aca="false">J3/$O$2</f>
        <v>1068.43760252525</v>
      </c>
      <c r="P3" s="69" t="n">
        <f aca="false">K3/$P$2</f>
        <v>1540</v>
      </c>
    </row>
    <row r="4" customFormat="false" ht="12.8" hidden="false" customHeight="false" outlineLevel="0" collapsed="false">
      <c r="A4" s="70" t="s">
        <v>49</v>
      </c>
      <c r="B4" s="70" t="n">
        <v>126000</v>
      </c>
      <c r="C4" s="70" t="n">
        <v>493</v>
      </c>
      <c r="D4" s="70" t="n">
        <v>0</v>
      </c>
      <c r="E4" s="70" t="n">
        <v>1000</v>
      </c>
      <c r="F4" s="70" t="n">
        <v>1000</v>
      </c>
      <c r="I4" s="67" t="s">
        <v>41</v>
      </c>
      <c r="J4" s="68" t="n">
        <f aca="false">INDEX($C$2:$C$100,MATCH($J$2,$A$2:$A$100,0))</f>
        <v>1.7786</v>
      </c>
      <c r="K4" s="69" t="n">
        <f aca="false">INDEX($C$2:$C$100,MATCH($K$2,$A$2:$A$100,0))</f>
        <v>616</v>
      </c>
      <c r="M4" s="62"/>
      <c r="N4" s="67" t="s">
        <v>50</v>
      </c>
      <c r="O4" s="68" t="n">
        <f aca="false">J4/$O$2</f>
        <v>1.7786</v>
      </c>
      <c r="P4" s="69" t="n">
        <f aca="false">K4/$P$2</f>
        <v>616</v>
      </c>
    </row>
    <row r="5" customFormat="false" ht="12.8" hidden="false" customHeight="false" outlineLevel="0" collapsed="false">
      <c r="A5" s="70" t="s">
        <v>45</v>
      </c>
      <c r="B5" s="70" t="n">
        <v>1540</v>
      </c>
      <c r="C5" s="70" t="n">
        <v>616</v>
      </c>
      <c r="D5" s="70" t="n">
        <v>0</v>
      </c>
      <c r="E5" s="70" t="n">
        <v>1540</v>
      </c>
      <c r="F5" s="70" t="n">
        <v>1540</v>
      </c>
      <c r="I5" s="67" t="s">
        <v>42</v>
      </c>
      <c r="J5" s="68" t="n">
        <f aca="false">INDEX($D$2:$D$100,MATCH($J$2,$A$2:$A$100,0))</f>
        <v>0.28176</v>
      </c>
      <c r="K5" s="69" t="n">
        <f aca="false">INDEX($D$2:$D$100,MATCH($K$2,$A$2:$A$100,0))</f>
        <v>0</v>
      </c>
      <c r="N5" s="67" t="s">
        <v>51</v>
      </c>
      <c r="O5" s="68" t="n">
        <f aca="false">J5/$O$2</f>
        <v>0.28176</v>
      </c>
      <c r="P5" s="69" t="n">
        <f aca="false">K5/$P$2</f>
        <v>0</v>
      </c>
    </row>
    <row r="6" customFormat="false" ht="12.8" hidden="false" customHeight="false" outlineLevel="0" collapsed="false">
      <c r="A6" s="70"/>
      <c r="B6" s="70"/>
      <c r="C6" s="70"/>
      <c r="D6" s="70"/>
      <c r="E6" s="70"/>
      <c r="F6" s="70"/>
      <c r="I6" s="67" t="s">
        <v>17</v>
      </c>
      <c r="J6" s="68" t="n">
        <f aca="false">INDEX($E$2:$E$100,MATCH($J$2,$A$2:$A$100,0))</f>
        <v>536.399752703559</v>
      </c>
      <c r="K6" s="69" t="n">
        <f aca="false">INDEX($E$2:$E$100,MATCH($K$2,$A$2:$A$100,0))</f>
        <v>1540</v>
      </c>
      <c r="N6" s="67" t="s">
        <v>52</v>
      </c>
      <c r="O6" s="68" t="n">
        <f aca="false">J6/$O$2</f>
        <v>536.399752703559</v>
      </c>
      <c r="P6" s="69" t="n">
        <f aca="false">K6/$P$2</f>
        <v>1540</v>
      </c>
    </row>
    <row r="7" customFormat="false" ht="12.8" hidden="false" customHeight="false" outlineLevel="0" collapsed="false">
      <c r="A7" s="70"/>
      <c r="B7" s="70"/>
      <c r="C7" s="70"/>
      <c r="D7" s="70"/>
      <c r="E7" s="70"/>
      <c r="F7" s="70"/>
      <c r="I7" s="71" t="s">
        <v>22</v>
      </c>
      <c r="J7" s="72" t="n">
        <f aca="false">INDEX($F$2:$F$100,MATCH($J$2,$A$2:$A$100,0))</f>
        <v>520.806779510476</v>
      </c>
      <c r="K7" s="73" t="n">
        <f aca="false">INDEX($F$2:$F$100,MATCH($K$2,$A$2:$A$100,0))</f>
        <v>1540</v>
      </c>
      <c r="N7" s="71" t="s">
        <v>53</v>
      </c>
      <c r="O7" s="72" t="n">
        <f aca="false">J7/$O$2</f>
        <v>520.806779510476</v>
      </c>
      <c r="P7" s="73" t="n">
        <f aca="false">K7/$P$2</f>
        <v>1540</v>
      </c>
    </row>
    <row r="8" customFormat="false" ht="12.8" hidden="false" customHeight="false" outlineLevel="0" collapsed="false">
      <c r="A8" s="70"/>
      <c r="B8" s="70"/>
      <c r="C8" s="70"/>
      <c r="D8" s="70"/>
      <c r="E8" s="70"/>
      <c r="F8" s="70"/>
    </row>
    <row r="9" customFormat="false" ht="12.8" hidden="false" customHeight="false" outlineLevel="0" collapsed="false">
      <c r="A9" s="70"/>
      <c r="B9" s="70"/>
      <c r="C9" s="70"/>
      <c r="D9" s="70"/>
      <c r="E9" s="70"/>
      <c r="F9" s="70"/>
    </row>
    <row r="10" customFormat="false" ht="12.8" hidden="false" customHeight="false" outlineLevel="0" collapsed="false">
      <c r="A10" s="70"/>
      <c r="B10" s="70"/>
      <c r="C10" s="70"/>
      <c r="D10" s="70"/>
      <c r="E10" s="70"/>
      <c r="F10" s="70"/>
      <c r="I10" s="74" t="s">
        <v>54</v>
      </c>
      <c r="J10" s="74"/>
      <c r="K10" s="74"/>
      <c r="L10" s="74"/>
      <c r="M10" s="74"/>
      <c r="N10" s="74"/>
      <c r="O10" s="74"/>
      <c r="P10" s="74"/>
    </row>
    <row r="11" customFormat="false" ht="12.8" hidden="false" customHeight="false" outlineLevel="0" collapsed="false">
      <c r="A11" s="70"/>
      <c r="B11" s="70"/>
      <c r="C11" s="70"/>
      <c r="D11" s="70"/>
      <c r="E11" s="70"/>
      <c r="F11" s="70"/>
    </row>
    <row r="12" customFormat="false" ht="12.8" hidden="false" customHeight="false" outlineLevel="0" collapsed="false">
      <c r="A12" s="70"/>
      <c r="B12" s="70"/>
      <c r="C12" s="70"/>
      <c r="D12" s="70"/>
      <c r="E12" s="70"/>
      <c r="F12" s="70"/>
      <c r="I12" s="2" t="s">
        <v>55</v>
      </c>
      <c r="J12" s="2"/>
    </row>
    <row r="13" customFormat="false" ht="12.8" hidden="false" customHeight="false" outlineLevel="0" collapsed="false">
      <c r="A13" s="70"/>
      <c r="B13" s="70"/>
      <c r="C13" s="70"/>
      <c r="D13" s="70"/>
      <c r="E13" s="70"/>
      <c r="F13" s="70"/>
      <c r="I13" s="75" t="s">
        <v>56</v>
      </c>
      <c r="J13" s="76" t="n">
        <v>25</v>
      </c>
    </row>
    <row r="14" customFormat="false" ht="12.8" hidden="false" customHeight="false" outlineLevel="0" collapsed="false">
      <c r="A14" s="70"/>
      <c r="B14" s="70"/>
      <c r="C14" s="70"/>
      <c r="D14" s="70"/>
      <c r="E14" s="70"/>
      <c r="F14" s="70"/>
      <c r="I14" s="77" t="s">
        <v>57</v>
      </c>
      <c r="J14" s="78" t="n">
        <v>1</v>
      </c>
      <c r="L14" s="2" t="s">
        <v>58</v>
      </c>
    </row>
    <row r="15" customFormat="false" ht="12.8" hidden="false" customHeight="false" outlineLevel="0" collapsed="false">
      <c r="A15" s="70"/>
      <c r="B15" s="70"/>
      <c r="C15" s="70"/>
      <c r="D15" s="70"/>
      <c r="E15" s="70"/>
      <c r="F15" s="70"/>
      <c r="I15" s="77" t="s">
        <v>59</v>
      </c>
      <c r="J15" s="79" t="n">
        <f aca="false">J13/J14</f>
        <v>25</v>
      </c>
      <c r="L15" s="67" t="n">
        <f aca="false">((J15*P5)-P4)</f>
        <v>-616</v>
      </c>
    </row>
    <row r="16" customFormat="false" ht="12.8" hidden="false" customHeight="false" outlineLevel="0" collapsed="false">
      <c r="A16" s="70"/>
      <c r="B16" s="70"/>
      <c r="C16" s="70"/>
      <c r="D16" s="70"/>
      <c r="E16" s="70"/>
      <c r="F16" s="70"/>
      <c r="I16" s="80" t="s">
        <v>60</v>
      </c>
      <c r="J16" s="81" t="n">
        <f aca="false">((J15*P5)-P4)/(O4-(J15*O5))</f>
        <v>116.990162190907</v>
      </c>
      <c r="L16" s="71" t="n">
        <f aca="false">(O4-(J15*O5))</f>
        <v>-5.2654</v>
      </c>
    </row>
    <row r="17" customFormat="false" ht="12.8" hidden="false" customHeight="false" outlineLevel="0" collapsed="false">
      <c r="A17" s="70"/>
      <c r="B17" s="70"/>
      <c r="C17" s="70"/>
      <c r="D17" s="70"/>
      <c r="E17" s="70"/>
      <c r="F17" s="70"/>
    </row>
    <row r="18" customFormat="false" ht="12.8" hidden="false" customHeight="false" outlineLevel="0" collapsed="false">
      <c r="A18" s="70"/>
      <c r="B18" s="70"/>
      <c r="C18" s="70"/>
      <c r="D18" s="70"/>
      <c r="E18" s="70"/>
      <c r="F18" s="70"/>
      <c r="I18" s="82" t="s">
        <v>61</v>
      </c>
      <c r="J18" s="83" t="s">
        <v>62</v>
      </c>
      <c r="K18" s="83" t="s">
        <v>63</v>
      </c>
      <c r="L18" s="83" t="s">
        <v>64</v>
      </c>
      <c r="M18" s="74" t="s">
        <v>65</v>
      </c>
      <c r="N18" s="74"/>
      <c r="O18" s="84" t="s">
        <v>66</v>
      </c>
      <c r="P18" s="84"/>
    </row>
    <row r="19" customFormat="false" ht="12.8" hidden="false" customHeight="false" outlineLevel="0" collapsed="false">
      <c r="A19" s="70"/>
      <c r="B19" s="70"/>
      <c r="C19" s="70"/>
      <c r="D19" s="70"/>
      <c r="E19" s="70"/>
      <c r="F19" s="70"/>
      <c r="I19" s="85" t="s">
        <v>43</v>
      </c>
      <c r="J19" s="86" t="s">
        <v>61</v>
      </c>
      <c r="K19" s="86" t="n">
        <f aca="false">J16*J20</f>
        <v>116.990162190907</v>
      </c>
      <c r="L19" s="86" t="n">
        <f aca="false">K19*1000</f>
        <v>116990.162190907</v>
      </c>
      <c r="M19" s="87" t="n">
        <f aca="false">K19*O4</f>
        <v>208.078702472747</v>
      </c>
      <c r="N19" s="87"/>
      <c r="O19" s="88" t="s">
        <v>61</v>
      </c>
      <c r="P19" s="88"/>
    </row>
    <row r="20" customFormat="false" ht="12.8" hidden="false" customHeight="false" outlineLevel="0" collapsed="false">
      <c r="A20" s="70"/>
      <c r="B20" s="70"/>
      <c r="C20" s="70"/>
      <c r="D20" s="70"/>
      <c r="E20" s="70"/>
      <c r="F20" s="70"/>
      <c r="I20" s="89" t="s">
        <v>44</v>
      </c>
      <c r="J20" s="90" t="n">
        <v>1</v>
      </c>
      <c r="K20" s="91" t="s">
        <v>61</v>
      </c>
      <c r="L20" s="91" t="n">
        <f aca="false">J20*1000</f>
        <v>1000</v>
      </c>
      <c r="M20" s="92" t="n">
        <f aca="false">J20*P4</f>
        <v>616</v>
      </c>
      <c r="N20" s="92"/>
      <c r="O20" s="93" t="s">
        <v>61</v>
      </c>
      <c r="P20" s="93"/>
    </row>
    <row r="21" customFormat="false" ht="12.8" hidden="false" customHeight="false" outlineLevel="0" collapsed="false">
      <c r="A21" s="70"/>
      <c r="B21" s="70"/>
      <c r="C21" s="70"/>
      <c r="D21" s="70"/>
      <c r="E21" s="70"/>
      <c r="F21" s="70"/>
      <c r="I21" s="94" t="s">
        <v>67</v>
      </c>
      <c r="J21" s="95" t="n">
        <f aca="false">J20+K19</f>
        <v>117.990162190907</v>
      </c>
      <c r="K21" s="95" t="s">
        <v>61</v>
      </c>
      <c r="L21" s="95" t="n">
        <f aca="false">J21*1000</f>
        <v>117990.162190907</v>
      </c>
      <c r="M21" s="95" t="n">
        <f aca="false">M19+M20</f>
        <v>824.078702472747</v>
      </c>
      <c r="N21" s="95"/>
      <c r="O21" s="96" t="n">
        <f aca="false">M21/J21</f>
        <v>6.98430010749029</v>
      </c>
      <c r="P21" s="96"/>
    </row>
    <row r="22" customFormat="false" ht="12.8" hidden="false" customHeight="false" outlineLevel="0" collapsed="false">
      <c r="A22" s="70"/>
      <c r="B22" s="70"/>
      <c r="C22" s="70"/>
      <c r="D22" s="70"/>
      <c r="E22" s="70"/>
      <c r="F22" s="70"/>
      <c r="I22" s="97" t="s">
        <v>43</v>
      </c>
      <c r="J22" s="98" t="n">
        <v>1</v>
      </c>
      <c r="K22" s="99" t="s">
        <v>61</v>
      </c>
      <c r="L22" s="99" t="n">
        <f aca="false">J22*1000</f>
        <v>1000</v>
      </c>
      <c r="M22" s="100" t="n">
        <f aca="false">J22*O3</f>
        <v>1068.43760252525</v>
      </c>
      <c r="N22" s="100"/>
      <c r="O22" s="101" t="s">
        <v>61</v>
      </c>
      <c r="P22" s="101"/>
    </row>
    <row r="23" customFormat="false" ht="12.8" hidden="false" customHeight="false" outlineLevel="0" collapsed="false">
      <c r="A23" s="70"/>
      <c r="B23" s="70"/>
      <c r="C23" s="70"/>
      <c r="D23" s="70"/>
      <c r="E23" s="70"/>
      <c r="F23" s="70"/>
      <c r="I23" s="102" t="s">
        <v>44</v>
      </c>
      <c r="J23" s="103" t="s">
        <v>61</v>
      </c>
      <c r="K23" s="103" t="n">
        <f aca="false">J22/J16</f>
        <v>0.00854772727272728</v>
      </c>
      <c r="L23" s="103" t="n">
        <f aca="false">K23*1000</f>
        <v>8.54772727272727</v>
      </c>
      <c r="M23" s="104" t="n">
        <f aca="false">K23*P3</f>
        <v>13.1635</v>
      </c>
      <c r="N23" s="104"/>
      <c r="O23" s="105" t="s">
        <v>61</v>
      </c>
      <c r="P23" s="105"/>
    </row>
    <row r="24" customFormat="false" ht="12.8" hidden="false" customHeight="false" outlineLevel="0" collapsed="false">
      <c r="A24" s="70"/>
      <c r="B24" s="70"/>
      <c r="C24" s="70"/>
      <c r="D24" s="70"/>
      <c r="E24" s="70"/>
      <c r="F24" s="70"/>
      <c r="I24" s="106" t="s">
        <v>67</v>
      </c>
      <c r="J24" s="107" t="n">
        <f aca="false">J22+K23</f>
        <v>1.00854772727273</v>
      </c>
      <c r="K24" s="107" t="s">
        <v>61</v>
      </c>
      <c r="L24" s="107" t="n">
        <f aca="false">J24*1000</f>
        <v>1008.54772727273</v>
      </c>
      <c r="M24" s="107" t="n">
        <f aca="false">M22+M23</f>
        <v>1081.60110252525</v>
      </c>
      <c r="N24" s="107"/>
      <c r="O24" s="108" t="n">
        <f aca="false">M24/J24</f>
        <v>1072.43422723293</v>
      </c>
      <c r="P24" s="108"/>
    </row>
    <row r="25" customFormat="false" ht="12.8" hidden="false" customHeight="false" outlineLevel="0" collapsed="false">
      <c r="A25" s="70"/>
      <c r="B25" s="70"/>
      <c r="C25" s="70"/>
      <c r="D25" s="70"/>
      <c r="E25" s="70"/>
      <c r="F25" s="70"/>
    </row>
    <row r="26" customFormat="false" ht="12.8" hidden="false" customHeight="false" outlineLevel="0" collapsed="false">
      <c r="A26" s="70"/>
      <c r="B26" s="70"/>
      <c r="C26" s="70"/>
      <c r="D26" s="70"/>
      <c r="E26" s="70"/>
      <c r="F26" s="70"/>
    </row>
    <row r="27" customFormat="false" ht="12.8" hidden="false" customHeight="false" outlineLevel="0" collapsed="false">
      <c r="A27" s="70"/>
      <c r="B27" s="70"/>
      <c r="C27" s="70"/>
      <c r="D27" s="70"/>
      <c r="E27" s="70"/>
      <c r="F27" s="70"/>
      <c r="I27" s="74" t="s">
        <v>68</v>
      </c>
      <c r="J27" s="74"/>
      <c r="K27" s="74"/>
      <c r="L27" s="74"/>
      <c r="M27" s="74"/>
      <c r="N27" s="74"/>
      <c r="O27" s="74"/>
      <c r="P27" s="74"/>
    </row>
    <row r="28" customFormat="false" ht="12.8" hidden="false" customHeight="false" outlineLevel="0" collapsed="false">
      <c r="A28" s="70"/>
      <c r="B28" s="70"/>
      <c r="C28" s="70"/>
      <c r="D28" s="70"/>
      <c r="E28" s="70"/>
      <c r="F28" s="70"/>
    </row>
    <row r="29" customFormat="false" ht="12.8" hidden="false" customHeight="false" outlineLevel="0" collapsed="false">
      <c r="A29" s="70"/>
      <c r="B29" s="70"/>
      <c r="C29" s="70"/>
      <c r="D29" s="70"/>
      <c r="E29" s="70"/>
      <c r="F29" s="70"/>
      <c r="I29" s="109" t="s">
        <v>61</v>
      </c>
      <c r="J29" s="74" t="s">
        <v>69</v>
      </c>
      <c r="K29" s="74" t="s">
        <v>70</v>
      </c>
      <c r="L29" s="74" t="s">
        <v>71</v>
      </c>
      <c r="M29" s="74" t="s">
        <v>19</v>
      </c>
      <c r="N29" s="74" t="s">
        <v>72</v>
      </c>
      <c r="O29" s="74" t="s">
        <v>24</v>
      </c>
      <c r="P29" s="23" t="s">
        <v>73</v>
      </c>
    </row>
    <row r="30" customFormat="false" ht="12.8" hidden="false" customHeight="false" outlineLevel="0" collapsed="false">
      <c r="A30" s="70"/>
      <c r="B30" s="70"/>
      <c r="C30" s="70"/>
      <c r="D30" s="70"/>
      <c r="E30" s="70"/>
      <c r="F30" s="70"/>
      <c r="I30" s="110" t="s">
        <v>43</v>
      </c>
      <c r="J30" s="86" t="n">
        <f aca="false">K19*O3</f>
        <v>124996.688410292</v>
      </c>
      <c r="K30" s="111" t="n">
        <f aca="false">J30+J31</f>
        <v>126536.688410292</v>
      </c>
      <c r="L30" s="111" t="n">
        <f aca="false">($O$6*K19)+($P$6*J20)</f>
        <v>64293.4940679515</v>
      </c>
      <c r="M30" s="111" t="n">
        <f aca="false">(L30/K30)*100</f>
        <v>50.8101601801695</v>
      </c>
      <c r="N30" s="111" t="n">
        <f aca="false">($O$7*K19)+($P$7*J20)</f>
        <v>62469.2696050543</v>
      </c>
      <c r="O30" s="111" t="n">
        <f aca="false">(N30/K30)*100</f>
        <v>49.3685036252087</v>
      </c>
      <c r="P30" s="112" t="n">
        <f aca="false">N30/L30</f>
        <v>0.971626608736349</v>
      </c>
    </row>
    <row r="31" customFormat="false" ht="12.8" hidden="false" customHeight="false" outlineLevel="0" collapsed="false">
      <c r="A31" s="70"/>
      <c r="B31" s="70"/>
      <c r="C31" s="70"/>
      <c r="D31" s="70"/>
      <c r="E31" s="70"/>
      <c r="F31" s="70"/>
      <c r="I31" s="113" t="s">
        <v>44</v>
      </c>
      <c r="J31" s="95" t="n">
        <f aca="false">J20*P3</f>
        <v>1540</v>
      </c>
      <c r="K31" s="111"/>
      <c r="L31" s="111"/>
      <c r="M31" s="111"/>
      <c r="N31" s="111"/>
      <c r="O31" s="111"/>
      <c r="P31" s="112"/>
    </row>
    <row r="32" customFormat="false" ht="12.8" hidden="false" customHeight="false" outlineLevel="0" collapsed="false">
      <c r="A32" s="70"/>
      <c r="B32" s="70"/>
      <c r="C32" s="70"/>
      <c r="D32" s="70"/>
      <c r="E32" s="70"/>
      <c r="F32" s="70"/>
      <c r="I32" s="114" t="s">
        <v>43</v>
      </c>
      <c r="J32" s="99" t="n">
        <f aca="false">J22*O3</f>
        <v>1068.43760252525</v>
      </c>
      <c r="K32" s="115" t="n">
        <f aca="false">J32+J33</f>
        <v>1081.60110252525</v>
      </c>
      <c r="L32" s="115" t="n">
        <f aca="false">($O$6*K23)+($P$6*J22)</f>
        <v>1544.58499879527</v>
      </c>
      <c r="M32" s="115" t="n">
        <f aca="false">(L32/K32)*100</f>
        <v>142.805420148803</v>
      </c>
      <c r="N32" s="115" t="n">
        <f aca="false">($O$7*K23)+($P$7*J22)</f>
        <v>1544.45171431304</v>
      </c>
      <c r="O32" s="115" t="n">
        <f aca="false">(N32/K32)*100</f>
        <v>142.79309726175</v>
      </c>
      <c r="P32" s="116" t="n">
        <f aca="false">N32/L32</f>
        <v>0.999913708548038</v>
      </c>
    </row>
    <row r="33" customFormat="false" ht="12.8" hidden="false" customHeight="false" outlineLevel="0" collapsed="false">
      <c r="A33" s="70"/>
      <c r="B33" s="70"/>
      <c r="C33" s="70"/>
      <c r="D33" s="70"/>
      <c r="E33" s="70"/>
      <c r="F33" s="70"/>
      <c r="I33" s="117" t="s">
        <v>44</v>
      </c>
      <c r="J33" s="107" t="n">
        <f aca="false">K23*P3</f>
        <v>13.1635</v>
      </c>
      <c r="K33" s="115"/>
      <c r="L33" s="115"/>
      <c r="M33" s="115"/>
      <c r="N33" s="115"/>
      <c r="O33" s="115"/>
      <c r="P33" s="116"/>
    </row>
    <row r="34" customFormat="false" ht="12.8" hidden="false" customHeight="false" outlineLevel="0" collapsed="false">
      <c r="A34" s="70"/>
      <c r="B34" s="70"/>
      <c r="C34" s="70"/>
      <c r="D34" s="70"/>
      <c r="E34" s="70"/>
      <c r="F34" s="70"/>
    </row>
    <row r="35" customFormat="false" ht="12.8" hidden="false" customHeight="false" outlineLevel="0" collapsed="false">
      <c r="A35" s="70"/>
      <c r="B35" s="70"/>
      <c r="C35" s="70"/>
      <c r="D35" s="70"/>
      <c r="E35" s="70"/>
      <c r="F35" s="70"/>
      <c r="I35" s="2" t="s">
        <v>74</v>
      </c>
      <c r="K35" s="75" t="s">
        <v>75</v>
      </c>
      <c r="L35" s="118" t="s">
        <v>76</v>
      </c>
      <c r="M35" s="118" t="s">
        <v>62</v>
      </c>
      <c r="N35" s="119" t="s">
        <v>77</v>
      </c>
    </row>
    <row r="36" customFormat="false" ht="12.8" hidden="false" customHeight="false" outlineLevel="0" collapsed="false">
      <c r="A36" s="70"/>
      <c r="B36" s="70"/>
      <c r="C36" s="70"/>
      <c r="D36" s="70"/>
      <c r="E36" s="70"/>
      <c r="F36" s="70"/>
      <c r="I36" s="120" t="n">
        <v>10</v>
      </c>
      <c r="K36" s="85" t="n">
        <f aca="false">M30/$I$36</f>
        <v>5.08101601801695</v>
      </c>
      <c r="L36" s="86" t="n">
        <f aca="false">N30/K36</f>
        <v>12294.641344082</v>
      </c>
      <c r="M36" s="86" t="n">
        <f aca="false">K36*J21</f>
        <v>599.509904060414</v>
      </c>
      <c r="N36" s="121" t="n">
        <f aca="false">L36/M36</f>
        <v>20.507820239185</v>
      </c>
    </row>
    <row r="37" customFormat="false" ht="12.8" hidden="false" customHeight="false" outlineLevel="0" collapsed="false">
      <c r="A37" s="70"/>
      <c r="B37" s="70"/>
      <c r="C37" s="70"/>
      <c r="D37" s="70"/>
      <c r="E37" s="70"/>
      <c r="F37" s="70"/>
      <c r="I37" s="122" t="n">
        <v>15</v>
      </c>
      <c r="K37" s="123" t="n">
        <f aca="false">M30/$I$37</f>
        <v>3.3873440120113</v>
      </c>
      <c r="L37" s="124" t="n">
        <f aca="false">N30/K37</f>
        <v>18441.9620161231</v>
      </c>
      <c r="M37" s="124" t="n">
        <f aca="false">K37*J21</f>
        <v>399.67326937361</v>
      </c>
      <c r="N37" s="125" t="n">
        <f aca="false">L37/M37</f>
        <v>46.1425955381663</v>
      </c>
    </row>
    <row r="38" customFormat="false" ht="12.8" hidden="false" customHeight="false" outlineLevel="0" collapsed="false">
      <c r="A38" s="70"/>
      <c r="B38" s="70"/>
      <c r="C38" s="70"/>
      <c r="D38" s="70"/>
      <c r="E38" s="70"/>
      <c r="F38" s="70"/>
      <c r="K38" s="97" t="n">
        <f aca="false">M32/$I$36</f>
        <v>14.2805420148803</v>
      </c>
      <c r="L38" s="99" t="n">
        <f aca="false">N32/K38</f>
        <v>108.150776959567</v>
      </c>
      <c r="M38" s="99" t="n">
        <f aca="false">K38*J24</f>
        <v>14.4026081933302</v>
      </c>
      <c r="N38" s="126" t="n">
        <f aca="false">L38/M38</f>
        <v>7.50911053802401</v>
      </c>
    </row>
    <row r="39" customFormat="false" ht="12.8" hidden="false" customHeight="false" outlineLevel="0" collapsed="false">
      <c r="A39" s="70"/>
      <c r="B39" s="70"/>
      <c r="C39" s="70"/>
      <c r="D39" s="70"/>
      <c r="E39" s="70"/>
      <c r="F39" s="70"/>
      <c r="K39" s="127" t="n">
        <f aca="false">M32/$I$37</f>
        <v>9.52036134325353</v>
      </c>
      <c r="L39" s="128" t="n">
        <f aca="false">N32/K39</f>
        <v>162.22616543935</v>
      </c>
      <c r="M39" s="128" t="n">
        <f aca="false">K39*J24</f>
        <v>9.60173879555348</v>
      </c>
      <c r="N39" s="129" t="n">
        <f aca="false">L39/M39</f>
        <v>16.895498710554</v>
      </c>
    </row>
    <row r="40" customFormat="false" ht="12.8" hidden="false" customHeight="false" outlineLevel="0" collapsed="false">
      <c r="A40" s="70"/>
      <c r="B40" s="70"/>
      <c r="C40" s="70"/>
      <c r="D40" s="70"/>
      <c r="E40" s="70"/>
      <c r="F40" s="70"/>
    </row>
    <row r="41" customFormat="false" ht="12.8" hidden="false" customHeight="false" outlineLevel="0" collapsed="false">
      <c r="A41" s="70"/>
      <c r="B41" s="70"/>
      <c r="C41" s="70"/>
      <c r="D41" s="70"/>
      <c r="E41" s="70"/>
      <c r="F41" s="70"/>
    </row>
    <row r="42" customFormat="false" ht="12.8" hidden="false" customHeight="false" outlineLevel="0" collapsed="false">
      <c r="A42" s="70"/>
      <c r="B42" s="70"/>
      <c r="C42" s="70"/>
      <c r="D42" s="70"/>
      <c r="E42" s="70"/>
      <c r="F42" s="70"/>
      <c r="I42" s="74" t="s">
        <v>78</v>
      </c>
      <c r="J42" s="74"/>
      <c r="K42" s="74"/>
      <c r="L42" s="74"/>
      <c r="M42" s="74"/>
      <c r="N42" s="74"/>
      <c r="O42" s="74"/>
      <c r="P42" s="74"/>
    </row>
    <row r="43" customFormat="false" ht="12.8" hidden="false" customHeight="false" outlineLevel="0" collapsed="false">
      <c r="A43" s="70"/>
      <c r="B43" s="70"/>
      <c r="C43" s="70"/>
      <c r="D43" s="70"/>
      <c r="E43" s="70"/>
      <c r="F43" s="70"/>
    </row>
    <row r="44" customFormat="false" ht="13.8" hidden="false" customHeight="false" outlineLevel="0" collapsed="false">
      <c r="A44" s="70"/>
      <c r="B44" s="70"/>
      <c r="C44" s="70"/>
      <c r="D44" s="70"/>
      <c r="E44" s="70"/>
      <c r="F44" s="70"/>
      <c r="I44" s="130" t="s">
        <v>79</v>
      </c>
      <c r="J44" s="131" t="s">
        <v>62</v>
      </c>
      <c r="K44" s="74" t="s">
        <v>80</v>
      </c>
      <c r="L44" s="131" t="s">
        <v>81</v>
      </c>
      <c r="M44" s="132" t="s">
        <v>82</v>
      </c>
      <c r="N44" s="109" t="s">
        <v>83</v>
      </c>
      <c r="O44" s="74" t="s">
        <v>84</v>
      </c>
      <c r="P44" s="132" t="s">
        <v>85</v>
      </c>
    </row>
    <row r="45" customFormat="false" ht="13.8" hidden="false" customHeight="false" outlineLevel="0" collapsed="false">
      <c r="A45" s="70"/>
      <c r="B45" s="70"/>
      <c r="C45" s="70"/>
      <c r="D45" s="70"/>
      <c r="E45" s="70"/>
      <c r="F45" s="70"/>
      <c r="I45" s="133" t="s">
        <v>86</v>
      </c>
      <c r="J45" s="134" t="n">
        <v>1</v>
      </c>
      <c r="K45" s="118" t="n">
        <f aca="false">J45/1000</f>
        <v>0.001</v>
      </c>
      <c r="L45" s="135" t="n">
        <v>30</v>
      </c>
      <c r="M45" s="136" t="n">
        <f aca="false">J45/L45</f>
        <v>0.0333333333333333</v>
      </c>
      <c r="N45" s="137" t="n">
        <f aca="false">$M$45*$N$36</f>
        <v>0.683594007972835</v>
      </c>
      <c r="O45" s="138" t="n">
        <f aca="false">N45/1000</f>
        <v>0.000683594007972835</v>
      </c>
      <c r="P45" s="139" t="n">
        <f aca="false">O45*(1/K45)</f>
        <v>0.683594007972835</v>
      </c>
    </row>
    <row r="46" customFormat="false" ht="12.8" hidden="false" customHeight="false" outlineLevel="0" collapsed="false">
      <c r="A46" s="70"/>
      <c r="B46" s="70"/>
      <c r="C46" s="70"/>
      <c r="D46" s="70"/>
      <c r="E46" s="70"/>
      <c r="F46" s="70"/>
      <c r="I46" s="140" t="s">
        <v>87</v>
      </c>
      <c r="J46" s="141" t="n">
        <v>1</v>
      </c>
      <c r="K46" s="51" t="n">
        <f aca="false">J46/1000</f>
        <v>0.001</v>
      </c>
      <c r="L46" s="142" t="n">
        <v>3</v>
      </c>
      <c r="M46" s="143" t="n">
        <f aca="false">J46/L46</f>
        <v>0.333333333333333</v>
      </c>
      <c r="N46" s="137" t="n">
        <f aca="false">$M$46*$N$36</f>
        <v>6.83594007972835</v>
      </c>
      <c r="O46" s="144" t="n">
        <f aca="false">N46/1000</f>
        <v>0.00683594007972835</v>
      </c>
      <c r="P46" s="139" t="n">
        <f aca="false">O46*(1/K46)</f>
        <v>6.83594007972835</v>
      </c>
    </row>
    <row r="47" customFormat="false" ht="12.8" hidden="false" customHeight="false" outlineLevel="0" collapsed="false">
      <c r="A47" s="70"/>
      <c r="B47" s="70"/>
      <c r="C47" s="70"/>
      <c r="D47" s="70"/>
      <c r="E47" s="70"/>
      <c r="F47" s="70"/>
      <c r="I47" s="145" t="s">
        <v>88</v>
      </c>
      <c r="J47" s="146" t="n">
        <v>4</v>
      </c>
      <c r="K47" s="147" t="n">
        <f aca="false">J47/1000</f>
        <v>0.004</v>
      </c>
      <c r="L47" s="148" t="n">
        <v>12</v>
      </c>
      <c r="M47" s="149" t="n">
        <f aca="false">J47/L47</f>
        <v>0.333333333333333</v>
      </c>
      <c r="N47" s="137" t="n">
        <f aca="false">$M$47*$N$36</f>
        <v>6.83594007972835</v>
      </c>
      <c r="O47" s="138" t="n">
        <f aca="false">N47/1000</f>
        <v>0.00683594007972835</v>
      </c>
      <c r="P47" s="139" t="n">
        <f aca="false">O47*(1/K47)</f>
        <v>1.70898501993209</v>
      </c>
    </row>
    <row r="48" customFormat="false" ht="12.8" hidden="false" customHeight="false" outlineLevel="0" collapsed="false">
      <c r="A48" s="70"/>
      <c r="B48" s="70"/>
      <c r="C48" s="70"/>
      <c r="D48" s="70"/>
      <c r="E48" s="70"/>
      <c r="F48" s="70"/>
      <c r="N48" s="150" t="n">
        <f aca="false">$M$45*$N$37</f>
        <v>1.53808651793888</v>
      </c>
      <c r="O48" s="151" t="n">
        <f aca="false">N48/1000</f>
        <v>0.00153808651793888</v>
      </c>
      <c r="P48" s="152" t="n">
        <f aca="false">O48*(1/K45)</f>
        <v>1.53808651793888</v>
      </c>
    </row>
    <row r="49" customFormat="false" ht="12.8" hidden="false" customHeight="false" outlineLevel="0" collapsed="false">
      <c r="A49" s="70"/>
      <c r="B49" s="70"/>
      <c r="C49" s="70"/>
      <c r="D49" s="70"/>
      <c r="E49" s="70"/>
      <c r="F49" s="70"/>
      <c r="I49" s="2" t="s">
        <v>89</v>
      </c>
      <c r="J49" s="2" t="s">
        <v>90</v>
      </c>
      <c r="K49" s="2" t="s">
        <v>62</v>
      </c>
      <c r="L49" s="2" t="s">
        <v>91</v>
      </c>
      <c r="N49" s="150" t="n">
        <f aca="false">$M$46*$N$37</f>
        <v>15.3808651793888</v>
      </c>
      <c r="O49" s="153" t="n">
        <f aca="false">N49/1000</f>
        <v>0.0153808651793888</v>
      </c>
      <c r="P49" s="152" t="n">
        <f aca="false">O49*(1/K46)</f>
        <v>15.3808651793888</v>
      </c>
    </row>
    <row r="50" customFormat="false" ht="12.8" hidden="false" customHeight="false" outlineLevel="0" collapsed="false">
      <c r="A50" s="70"/>
      <c r="B50" s="70"/>
      <c r="C50" s="70"/>
      <c r="D50" s="70"/>
      <c r="E50" s="70"/>
      <c r="F50" s="70"/>
      <c r="I50" s="120" t="n">
        <v>4</v>
      </c>
      <c r="J50" s="154" t="n">
        <f aca="false">P45/$I$50</f>
        <v>0.170898501993209</v>
      </c>
      <c r="K50" s="154" t="n">
        <f aca="false">J50*$M$36</f>
        <v>102.455344534017</v>
      </c>
      <c r="L50" s="154" t="n">
        <f aca="false">($M$30*$J$21)/K50</f>
        <v>58.514263632325</v>
      </c>
      <c r="N50" s="150" t="n">
        <f aca="false">$M$47*$N$37</f>
        <v>15.3808651793888</v>
      </c>
      <c r="O50" s="151" t="n">
        <f aca="false">N50/1000</f>
        <v>0.0153808651793888</v>
      </c>
      <c r="P50" s="152" t="n">
        <f aca="false">O50*(1/K47)</f>
        <v>3.8452162948472</v>
      </c>
    </row>
    <row r="51" customFormat="false" ht="12.8" hidden="false" customHeight="false" outlineLevel="0" collapsed="false">
      <c r="A51" s="70"/>
      <c r="B51" s="70"/>
      <c r="C51" s="70"/>
      <c r="D51" s="70"/>
      <c r="E51" s="70"/>
      <c r="F51" s="70"/>
      <c r="I51" s="120" t="n">
        <v>2</v>
      </c>
      <c r="J51" s="154" t="n">
        <f aca="false">P46/$I$51</f>
        <v>3.41797003986418</v>
      </c>
      <c r="K51" s="154" t="n">
        <f aca="false">J51*$M$36</f>
        <v>2049.10689068034</v>
      </c>
      <c r="L51" s="154" t="n">
        <f aca="false">($M$30*$J$21)/K51</f>
        <v>2.92571318161625</v>
      </c>
      <c r="N51" s="155" t="n">
        <f aca="false">$M$45*$N$38</f>
        <v>0.2503036846008</v>
      </c>
      <c r="O51" s="156" t="n">
        <f aca="false">N51/1000</f>
        <v>0.0002503036846008</v>
      </c>
      <c r="P51" s="157" t="n">
        <f aca="false">O51*(1/J51)</f>
        <v>7.32316789443674E-005</v>
      </c>
    </row>
    <row r="52" customFormat="false" ht="12.8" hidden="false" customHeight="false" outlineLevel="0" collapsed="false">
      <c r="A52" s="70"/>
      <c r="B52" s="70"/>
      <c r="C52" s="70"/>
      <c r="D52" s="70"/>
      <c r="E52" s="70"/>
      <c r="F52" s="70"/>
      <c r="I52" s="122" t="n">
        <v>14</v>
      </c>
      <c r="J52" s="154" t="n">
        <f aca="false">P47/$I$52</f>
        <v>0.122070358566578</v>
      </c>
      <c r="K52" s="154" t="n">
        <f aca="false">J52*$M$36</f>
        <v>73.1823889528694</v>
      </c>
      <c r="L52" s="154" t="n">
        <f aca="false">($M$30*$J$21)/K52</f>
        <v>81.9199690852549</v>
      </c>
      <c r="N52" s="155" t="n">
        <f aca="false">$M$46*$N$38</f>
        <v>2.503036846008</v>
      </c>
      <c r="O52" s="158" t="n">
        <f aca="false">N52/1000</f>
        <v>0.002503036846008</v>
      </c>
      <c r="P52" s="157" t="n">
        <f aca="false">O52*(1/J51)</f>
        <v>0.000732316789443674</v>
      </c>
    </row>
    <row r="53" customFormat="false" ht="12.8" hidden="false" customHeight="false" outlineLevel="0" collapsed="false">
      <c r="A53" s="70"/>
      <c r="B53" s="70"/>
      <c r="C53" s="70"/>
      <c r="D53" s="70"/>
      <c r="E53" s="70"/>
      <c r="F53" s="70"/>
      <c r="J53" s="159" t="n">
        <f aca="false">P48/$I$50</f>
        <v>0.38452162948472</v>
      </c>
      <c r="K53" s="159" t="n">
        <f aca="false">J53*$M$37</f>
        <v>153.683016801026</v>
      </c>
      <c r="L53" s="159" t="n">
        <f aca="false">($M$30*$J$21)/K53</f>
        <v>39.0095090882166</v>
      </c>
      <c r="N53" s="155" t="n">
        <f aca="false">$M$47*$N$38</f>
        <v>2.503036846008</v>
      </c>
      <c r="O53" s="156" t="n">
        <f aca="false">N53/1000</f>
        <v>0.002503036846008</v>
      </c>
      <c r="P53" s="157" t="n">
        <f aca="false">O53*(1/J52)</f>
        <v>0.0205048701044229</v>
      </c>
    </row>
    <row r="54" customFormat="false" ht="12.8" hidden="false" customHeight="false" outlineLevel="0" collapsed="false">
      <c r="A54" s="70"/>
      <c r="B54" s="70"/>
      <c r="C54" s="70"/>
      <c r="D54" s="70"/>
      <c r="E54" s="70"/>
      <c r="F54" s="70"/>
      <c r="J54" s="159" t="n">
        <f aca="false">P49/$I$51</f>
        <v>7.6904325896944</v>
      </c>
      <c r="K54" s="159" t="n">
        <f aca="false">J54*$M$37</f>
        <v>3073.66033602052</v>
      </c>
      <c r="L54" s="159" t="n">
        <f aca="false">($M$30*$J$21)/K54</f>
        <v>1.95047545441083</v>
      </c>
      <c r="N54" s="160" t="n">
        <f aca="false">$M$45*$N$39</f>
        <v>0.563183290351801</v>
      </c>
      <c r="O54" s="161" t="n">
        <f aca="false">N54/1000</f>
        <v>0.000563183290351801</v>
      </c>
      <c r="P54" s="162" t="n">
        <f aca="false">O54*(1/J51)</f>
        <v>0.000164771277624827</v>
      </c>
    </row>
    <row r="55" customFormat="false" ht="12.8" hidden="false" customHeight="false" outlineLevel="0" collapsed="false">
      <c r="A55" s="70"/>
      <c r="B55" s="70"/>
      <c r="C55" s="70"/>
      <c r="D55" s="70"/>
      <c r="E55" s="70"/>
      <c r="F55" s="70"/>
      <c r="J55" s="159" t="n">
        <f aca="false">P50/$I$52</f>
        <v>0.2746583067748</v>
      </c>
      <c r="K55" s="159" t="n">
        <f aca="false">J55*$M$37</f>
        <v>109.773583429304</v>
      </c>
      <c r="L55" s="159" t="n">
        <f aca="false">($M$30*$J$21)/K55</f>
        <v>54.6133127235032</v>
      </c>
      <c r="N55" s="160" t="n">
        <f aca="false">$M$46*$N$39</f>
        <v>5.63183290351801</v>
      </c>
      <c r="O55" s="163" t="n">
        <f aca="false">N55/1000</f>
        <v>0.00563183290351801</v>
      </c>
      <c r="P55" s="162" t="n">
        <f aca="false">O55*(1/J51)</f>
        <v>0.00164771277624827</v>
      </c>
    </row>
    <row r="56" customFormat="false" ht="12.8" hidden="false" customHeight="false" outlineLevel="0" collapsed="false">
      <c r="A56" s="70"/>
      <c r="B56" s="70"/>
      <c r="C56" s="70"/>
      <c r="D56" s="70"/>
      <c r="E56" s="70"/>
      <c r="F56" s="70"/>
      <c r="J56" s="164" t="n">
        <f aca="false">P51/$I$50</f>
        <v>1.83079197360919E-005</v>
      </c>
      <c r="K56" s="164" t="n">
        <f aca="false">J56*$M$38</f>
        <v>0.000263681794793868</v>
      </c>
      <c r="L56" s="164" t="n">
        <f aca="false">($M$32*$J$24)/K56</f>
        <v>546211.702047516</v>
      </c>
      <c r="N56" s="165" t="n">
        <f aca="false">$M$47*$N$39</f>
        <v>5.63183290351801</v>
      </c>
      <c r="O56" s="166" t="n">
        <f aca="false">N56/1000</f>
        <v>0.00563183290351801</v>
      </c>
      <c r="P56" s="167" t="n">
        <f aca="false">O56*(1/J52)</f>
        <v>0.0461359577349515</v>
      </c>
    </row>
    <row r="57" customFormat="false" ht="12.8" hidden="false" customHeight="false" outlineLevel="0" collapsed="false">
      <c r="A57" s="70"/>
      <c r="B57" s="70"/>
      <c r="C57" s="70"/>
      <c r="D57" s="70"/>
      <c r="E57" s="70"/>
      <c r="F57" s="70"/>
      <c r="J57" s="164" t="n">
        <f aca="false">P52/$I$51</f>
        <v>0.000366158394721837</v>
      </c>
      <c r="K57" s="164" t="n">
        <f aca="false">J57*$M$38</f>
        <v>0.00527363589587737</v>
      </c>
      <c r="L57" s="164" t="n">
        <f aca="false">($M$32*$J$24)/K57</f>
        <v>27310.5851023758</v>
      </c>
    </row>
    <row r="58" customFormat="false" ht="12.8" hidden="false" customHeight="false" outlineLevel="0" collapsed="false">
      <c r="A58" s="70"/>
      <c r="B58" s="70"/>
      <c r="C58" s="70"/>
      <c r="D58" s="70"/>
      <c r="E58" s="70"/>
      <c r="F58" s="70"/>
      <c r="J58" s="164" t="n">
        <f aca="false">P53/$I$52</f>
        <v>0.00146463357888735</v>
      </c>
      <c r="K58" s="164" t="n">
        <f aca="false">J58*$M$38</f>
        <v>0.0210945435835094</v>
      </c>
      <c r="L58" s="164" t="n">
        <f aca="false">($M$32*$J$24)/K58</f>
        <v>6827.64627559396</v>
      </c>
    </row>
    <row r="59" customFormat="false" ht="12.8" hidden="false" customHeight="false" outlineLevel="0" collapsed="false">
      <c r="A59" s="70"/>
      <c r="B59" s="70"/>
      <c r="C59" s="70"/>
      <c r="D59" s="70"/>
      <c r="E59" s="70"/>
      <c r="F59" s="70"/>
      <c r="J59" s="168" t="n">
        <f aca="false">P54/$I$50</f>
        <v>4.11928194062068E-005</v>
      </c>
      <c r="K59" s="168" t="n">
        <f aca="false">J59*$M$39</f>
        <v>0.000395522692190804</v>
      </c>
      <c r="L59" s="168" t="n">
        <f aca="false">($M$32*$J$24)/K59</f>
        <v>364141.134698343</v>
      </c>
    </row>
    <row r="60" customFormat="false" ht="12.8" hidden="false" customHeight="false" outlineLevel="0" collapsed="false">
      <c r="A60" s="70"/>
      <c r="B60" s="70"/>
      <c r="C60" s="70"/>
      <c r="D60" s="70"/>
      <c r="E60" s="70"/>
      <c r="F60" s="70"/>
      <c r="J60" s="168" t="n">
        <f aca="false">P55/$I$51</f>
        <v>0.000823856388124135</v>
      </c>
      <c r="K60" s="168" t="n">
        <f aca="false">J60*$M$39</f>
        <v>0.00791045384381607</v>
      </c>
      <c r="L60" s="168" t="n">
        <f aca="false">($M$32*$J$24)/K60</f>
        <v>18207.0567349171</v>
      </c>
    </row>
    <row r="61" customFormat="false" ht="12.8" hidden="false" customHeight="false" outlineLevel="0" collapsed="false">
      <c r="A61" s="70"/>
      <c r="B61" s="70"/>
      <c r="C61" s="70"/>
      <c r="D61" s="70"/>
      <c r="E61" s="70"/>
      <c r="F61" s="70"/>
      <c r="J61" s="169" t="n">
        <f aca="false">P56/$I$52</f>
        <v>0.00329542555249654</v>
      </c>
      <c r="K61" s="169" t="n">
        <f aca="false">J61*$M$39</f>
        <v>0.0316418153752643</v>
      </c>
      <c r="L61" s="169" t="n">
        <f aca="false">($M$32*$J$24)/K61</f>
        <v>4551.76418372929</v>
      </c>
    </row>
    <row r="62" customFormat="false" ht="12.8" hidden="false" customHeight="false" outlineLevel="0" collapsed="false">
      <c r="A62" s="70"/>
      <c r="B62" s="70"/>
      <c r="C62" s="70"/>
      <c r="D62" s="70"/>
      <c r="E62" s="70"/>
      <c r="F62" s="70"/>
    </row>
    <row r="63" customFormat="false" ht="12.8" hidden="false" customHeight="false" outlineLevel="0" collapsed="false">
      <c r="A63" s="70"/>
      <c r="B63" s="70"/>
      <c r="C63" s="70"/>
      <c r="D63" s="70"/>
      <c r="E63" s="70"/>
      <c r="F63" s="70"/>
    </row>
    <row r="64" customFormat="false" ht="12.8" hidden="false" customHeight="false" outlineLevel="0" collapsed="false">
      <c r="A64" s="70"/>
      <c r="B64" s="70"/>
      <c r="C64" s="70"/>
      <c r="D64" s="70"/>
      <c r="E64" s="70"/>
      <c r="F64" s="70"/>
    </row>
    <row r="65" customFormat="false" ht="12.8" hidden="false" customHeight="false" outlineLevel="0" collapsed="false">
      <c r="A65" s="70"/>
      <c r="B65" s="70"/>
      <c r="C65" s="70"/>
      <c r="D65" s="70"/>
      <c r="E65" s="70"/>
      <c r="F65" s="70"/>
      <c r="I65" s="74" t="s">
        <v>92</v>
      </c>
      <c r="J65" s="74"/>
      <c r="K65" s="74"/>
      <c r="L65" s="74"/>
      <c r="M65" s="74"/>
    </row>
    <row r="66" customFormat="false" ht="12.8" hidden="false" customHeight="false" outlineLevel="0" collapsed="false">
      <c r="A66" s="70"/>
      <c r="B66" s="70"/>
      <c r="C66" s="70"/>
      <c r="D66" s="70"/>
      <c r="E66" s="70"/>
      <c r="F66" s="70"/>
    </row>
    <row r="67" customFormat="false" ht="12.8" hidden="false" customHeight="false" outlineLevel="0" collapsed="false">
      <c r="A67" s="70"/>
      <c r="B67" s="70"/>
      <c r="C67" s="70"/>
      <c r="D67" s="70"/>
      <c r="E67" s="70"/>
      <c r="F67" s="70"/>
      <c r="I67" s="74" t="s">
        <v>93</v>
      </c>
      <c r="J67" s="74"/>
      <c r="K67" s="74"/>
      <c r="L67" s="74"/>
      <c r="M67" s="74"/>
    </row>
    <row r="68" customFormat="false" ht="12.8" hidden="false" customHeight="false" outlineLevel="0" collapsed="false">
      <c r="A68" s="70"/>
      <c r="B68" s="70"/>
      <c r="C68" s="70"/>
      <c r="D68" s="70"/>
      <c r="E68" s="70"/>
      <c r="F68" s="70"/>
      <c r="I68" s="74" t="s">
        <v>64</v>
      </c>
    </row>
    <row r="69" customFormat="false" ht="12.8" hidden="false" customHeight="false" outlineLevel="0" collapsed="false">
      <c r="A69" s="70"/>
      <c r="B69" s="70"/>
      <c r="C69" s="70"/>
      <c r="D69" s="70"/>
      <c r="E69" s="70"/>
      <c r="F69" s="70"/>
      <c r="I69" s="170" t="n">
        <v>500</v>
      </c>
    </row>
    <row r="70" customFormat="false" ht="12.8" hidden="false" customHeight="false" outlineLevel="0" collapsed="false">
      <c r="A70" s="70"/>
      <c r="B70" s="70"/>
      <c r="C70" s="70"/>
      <c r="D70" s="70"/>
      <c r="E70" s="70"/>
      <c r="F70" s="70"/>
      <c r="I70" s="109" t="s">
        <v>61</v>
      </c>
      <c r="J70" s="74" t="s">
        <v>64</v>
      </c>
      <c r="K70" s="74" t="s">
        <v>94</v>
      </c>
      <c r="L70" s="74" t="s">
        <v>95</v>
      </c>
      <c r="M70" s="23" t="s">
        <v>96</v>
      </c>
    </row>
    <row r="71" customFormat="false" ht="12.8" hidden="false" customHeight="false" outlineLevel="0" collapsed="false">
      <c r="A71" s="70"/>
      <c r="B71" s="70"/>
      <c r="C71" s="70"/>
      <c r="D71" s="70"/>
      <c r="E71" s="70"/>
      <c r="F71" s="70"/>
      <c r="I71" s="171" t="s">
        <v>43</v>
      </c>
      <c r="J71" s="172" t="n">
        <f aca="false">($J$21/M36)*$I$69</f>
        <v>98.4055153983048</v>
      </c>
      <c r="K71" s="91" t="n">
        <f aca="false">$L$19/$L$21</f>
        <v>0.991524717133772</v>
      </c>
      <c r="L71" s="91" t="n">
        <f aca="false">J71*K71</f>
        <v>97.5715008197072</v>
      </c>
      <c r="M71" s="173" t="n">
        <f aca="false">L71*($O$3/1000)</f>
        <v>104.249060410598</v>
      </c>
    </row>
    <row r="72" customFormat="false" ht="12.8" hidden="false" customHeight="false" outlineLevel="0" collapsed="false">
      <c r="A72" s="70"/>
      <c r="B72" s="70"/>
      <c r="C72" s="70"/>
      <c r="D72" s="70"/>
      <c r="E72" s="70"/>
      <c r="F72" s="70"/>
      <c r="I72" s="171" t="s">
        <v>44</v>
      </c>
      <c r="J72" s="172"/>
      <c r="K72" s="91" t="n">
        <f aca="false">$L$20/$L$21</f>
        <v>0.00847528286622754</v>
      </c>
      <c r="L72" s="91" t="n">
        <f aca="false">J71*K72</f>
        <v>0.834014578597543</v>
      </c>
      <c r="M72" s="173" t="n">
        <f aca="false">L72*($P$3/1000)</f>
        <v>1.28438245104022</v>
      </c>
    </row>
    <row r="73" customFormat="false" ht="12.8" hidden="false" customHeight="false" outlineLevel="0" collapsed="false">
      <c r="A73" s="70"/>
      <c r="B73" s="70"/>
      <c r="C73" s="70"/>
      <c r="D73" s="70"/>
      <c r="E73" s="70"/>
      <c r="F73" s="70"/>
      <c r="I73" s="174" t="s">
        <v>43</v>
      </c>
      <c r="J73" s="124" t="n">
        <f aca="false">($J$21/M37)*$I$69</f>
        <v>147.608273097457</v>
      </c>
      <c r="K73" s="124" t="n">
        <f aca="false">$L$19/$L$21</f>
        <v>0.991524717133772</v>
      </c>
      <c r="L73" s="124" t="n">
        <f aca="false">J73*K73</f>
        <v>146.357251229561</v>
      </c>
      <c r="M73" s="125" t="n">
        <f aca="false">L73*($O$3/1000)</f>
        <v>156.373590615898</v>
      </c>
    </row>
    <row r="74" customFormat="false" ht="12.8" hidden="false" customHeight="false" outlineLevel="0" collapsed="false">
      <c r="A74" s="70"/>
      <c r="B74" s="70"/>
      <c r="C74" s="70"/>
      <c r="D74" s="70"/>
      <c r="E74" s="70"/>
      <c r="F74" s="70"/>
      <c r="I74" s="174" t="s">
        <v>44</v>
      </c>
      <c r="J74" s="124"/>
      <c r="K74" s="124" t="n">
        <f aca="false">$L$20/$L$21</f>
        <v>0.00847528286622754</v>
      </c>
      <c r="L74" s="124" t="n">
        <f aca="false">J73*K74</f>
        <v>1.25102186789631</v>
      </c>
      <c r="M74" s="125" t="n">
        <f aca="false">L74*($P$3/1000)</f>
        <v>1.92657367656032</v>
      </c>
    </row>
    <row r="75" customFormat="false" ht="12.8" hidden="false" customHeight="false" outlineLevel="0" collapsed="false">
      <c r="A75" s="70"/>
      <c r="B75" s="70"/>
      <c r="C75" s="70"/>
      <c r="D75" s="70"/>
      <c r="E75" s="70"/>
      <c r="F75" s="70"/>
      <c r="I75" s="175" t="s">
        <v>43</v>
      </c>
      <c r="J75" s="176" t="n">
        <f aca="false">($J$24/M38)*$I$69</f>
        <v>35.0126766532391</v>
      </c>
      <c r="K75" s="103" t="n">
        <f aca="false">$L$22/$L$24</f>
        <v>0.991524717133773</v>
      </c>
      <c r="L75" s="103" t="n">
        <f aca="false">J75*K75</f>
        <v>34.7159343146992</v>
      </c>
      <c r="M75" s="177" t="n">
        <f aca="false">L75*($O$3/1000)</f>
        <v>37.0918096286213</v>
      </c>
    </row>
    <row r="76" customFormat="false" ht="12.8" hidden="false" customHeight="false" outlineLevel="0" collapsed="false">
      <c r="A76" s="70"/>
      <c r="B76" s="70"/>
      <c r="C76" s="70"/>
      <c r="D76" s="70"/>
      <c r="E76" s="70"/>
      <c r="F76" s="70"/>
      <c r="I76" s="175" t="s">
        <v>44</v>
      </c>
      <c r="J76" s="176"/>
      <c r="K76" s="103" t="n">
        <f aca="false">$L$23/$L$24</f>
        <v>0.00847528286622754</v>
      </c>
      <c r="L76" s="103" t="n">
        <f aca="false">J75*K76</f>
        <v>0.296742338539963</v>
      </c>
      <c r="M76" s="177" t="n">
        <f aca="false">L76*($P$3/1000)</f>
        <v>0.456983201351543</v>
      </c>
    </row>
    <row r="77" customFormat="false" ht="12.8" hidden="false" customHeight="false" outlineLevel="0" collapsed="false">
      <c r="A77" s="70"/>
      <c r="B77" s="70"/>
      <c r="C77" s="70"/>
      <c r="D77" s="70"/>
      <c r="E77" s="70"/>
      <c r="F77" s="70"/>
      <c r="I77" s="178" t="s">
        <v>43</v>
      </c>
      <c r="J77" s="128" t="n">
        <f aca="false">($J$24/M39)*$I$69</f>
        <v>52.5190149798587</v>
      </c>
      <c r="K77" s="179" t="n">
        <f aca="false">$L$22/$L$24</f>
        <v>0.991524717133773</v>
      </c>
      <c r="L77" s="179" t="n">
        <f aca="false">J77*K77</f>
        <v>52.0739014720488</v>
      </c>
      <c r="M77" s="180" t="n">
        <f aca="false">L77*($O$3/1000)</f>
        <v>55.6377144429319</v>
      </c>
    </row>
    <row r="78" customFormat="false" ht="12.8" hidden="false" customHeight="false" outlineLevel="0" collapsed="false">
      <c r="A78" s="70"/>
      <c r="B78" s="70"/>
      <c r="C78" s="70"/>
      <c r="D78" s="70"/>
      <c r="E78" s="70"/>
      <c r="F78" s="70"/>
      <c r="I78" s="181" t="s">
        <v>44</v>
      </c>
      <c r="J78" s="128"/>
      <c r="K78" s="128" t="n">
        <f aca="false">$L$23/$L$24</f>
        <v>0.00847528286622754</v>
      </c>
      <c r="L78" s="128" t="n">
        <f aca="false">J77*K78</f>
        <v>0.445113507809944</v>
      </c>
      <c r="M78" s="129" t="n">
        <f aca="false">L78*($P$3/1000)</f>
        <v>0.685474802027314</v>
      </c>
    </row>
    <row r="79" customFormat="false" ht="12.8" hidden="false" customHeight="false" outlineLevel="0" collapsed="false">
      <c r="A79" s="70"/>
      <c r="B79" s="70"/>
      <c r="C79" s="70"/>
      <c r="D79" s="70"/>
      <c r="E79" s="70"/>
      <c r="F79" s="70"/>
    </row>
    <row r="80" customFormat="false" ht="12.8" hidden="false" customHeight="false" outlineLevel="0" collapsed="false">
      <c r="A80" s="70"/>
      <c r="B80" s="70"/>
      <c r="C80" s="70"/>
      <c r="D80" s="70"/>
      <c r="E80" s="70"/>
      <c r="F80" s="70"/>
      <c r="I80" s="74" t="s">
        <v>97</v>
      </c>
      <c r="J80" s="74"/>
      <c r="K80" s="74"/>
      <c r="L80" s="74"/>
      <c r="M80" s="74"/>
    </row>
    <row r="81" customFormat="false" ht="12.8" hidden="false" customHeight="false" outlineLevel="0" collapsed="false">
      <c r="A81" s="70"/>
      <c r="B81" s="70"/>
      <c r="C81" s="70"/>
      <c r="D81" s="70"/>
      <c r="E81" s="70"/>
      <c r="F81" s="70"/>
      <c r="I81" s="74" t="s">
        <v>64</v>
      </c>
      <c r="J81" s="74" t="s">
        <v>98</v>
      </c>
      <c r="K81" s="59" t="s">
        <v>99</v>
      </c>
    </row>
    <row r="82" customFormat="false" ht="12.8" hidden="false" customHeight="false" outlineLevel="0" collapsed="false">
      <c r="A82" s="70"/>
      <c r="B82" s="70"/>
      <c r="C82" s="70"/>
      <c r="D82" s="70"/>
      <c r="E82" s="70"/>
      <c r="F82" s="70"/>
      <c r="I82" s="170" t="n">
        <v>500</v>
      </c>
      <c r="J82" s="182" t="n">
        <v>4</v>
      </c>
      <c r="K82" s="183" t="n">
        <f aca="false" t="array" ref="K82:K85">INDEX($K50:$K$61,_xlfn.SEQUENCE(4,,MATCH($J$82,$I$50:$I$52,0),3))</f>
        <v>102.455344534017</v>
      </c>
    </row>
    <row r="83" customFormat="false" ht="12.8" hidden="false" customHeight="false" outlineLevel="0" collapsed="false">
      <c r="A83" s="70"/>
      <c r="B83" s="70"/>
      <c r="C83" s="70"/>
      <c r="D83" s="70"/>
      <c r="E83" s="70"/>
      <c r="F83" s="70"/>
      <c r="K83" s="159" t="n">
        <v>153.683016801026</v>
      </c>
    </row>
    <row r="84" customFormat="false" ht="12.8" hidden="false" customHeight="false" outlineLevel="0" collapsed="false">
      <c r="A84" s="70"/>
      <c r="B84" s="70"/>
      <c r="C84" s="70"/>
      <c r="D84" s="70"/>
      <c r="E84" s="70"/>
      <c r="F84" s="70"/>
      <c r="K84" s="164" t="n">
        <v>0.000263681794793868</v>
      </c>
    </row>
    <row r="85" customFormat="false" ht="12.8" hidden="false" customHeight="false" outlineLevel="0" collapsed="false">
      <c r="A85" s="70"/>
      <c r="B85" s="70"/>
      <c r="C85" s="70"/>
      <c r="D85" s="70"/>
      <c r="E85" s="70"/>
      <c r="F85" s="70"/>
      <c r="K85" s="169" t="n">
        <v>0.000395522692190804</v>
      </c>
    </row>
    <row r="86" customFormat="false" ht="12.8" hidden="false" customHeight="false" outlineLevel="0" collapsed="false">
      <c r="A86" s="70"/>
      <c r="B86" s="70"/>
      <c r="C86" s="70"/>
      <c r="D86" s="70"/>
      <c r="E86" s="70"/>
      <c r="F86" s="70"/>
    </row>
    <row r="87" customFormat="false" ht="12.8" hidden="false" customHeight="false" outlineLevel="0" collapsed="false">
      <c r="A87" s="70"/>
      <c r="B87" s="70"/>
      <c r="C87" s="70"/>
      <c r="D87" s="70"/>
      <c r="E87" s="70"/>
      <c r="F87" s="70"/>
      <c r="I87" s="109" t="s">
        <v>61</v>
      </c>
      <c r="J87" s="74" t="s">
        <v>64</v>
      </c>
      <c r="K87" s="74" t="s">
        <v>94</v>
      </c>
      <c r="L87" s="74" t="s">
        <v>95</v>
      </c>
      <c r="M87" s="23" t="s">
        <v>96</v>
      </c>
    </row>
    <row r="88" customFormat="false" ht="12.8" hidden="false" customHeight="false" outlineLevel="0" collapsed="false">
      <c r="A88" s="70"/>
      <c r="B88" s="70"/>
      <c r="C88" s="70"/>
      <c r="D88" s="70"/>
      <c r="E88" s="70"/>
      <c r="F88" s="70"/>
      <c r="I88" s="171" t="s">
        <v>43</v>
      </c>
      <c r="J88" s="172" t="n">
        <f aca="false">($J$21/K82)*$I$82</f>
        <v>575.812627089122</v>
      </c>
      <c r="K88" s="91" t="n">
        <f aca="false">$L$19/$L$21</f>
        <v>0.991524717133772</v>
      </c>
      <c r="L88" s="91" t="n">
        <f aca="false">J88*K88</f>
        <v>570.932452196596</v>
      </c>
      <c r="M88" s="173" t="n">
        <f aca="false">L88*($O$3/1000)</f>
        <v>610.005700428793</v>
      </c>
    </row>
    <row r="89" customFormat="false" ht="12.8" hidden="false" customHeight="false" outlineLevel="0" collapsed="false">
      <c r="A89" s="70"/>
      <c r="B89" s="70"/>
      <c r="C89" s="70"/>
      <c r="D89" s="70"/>
      <c r="E89" s="70"/>
      <c r="F89" s="70"/>
      <c r="I89" s="171" t="s">
        <v>44</v>
      </c>
      <c r="J89" s="172"/>
      <c r="K89" s="91" t="n">
        <f aca="false">$L$20/$L$21</f>
        <v>0.00847528286622754</v>
      </c>
      <c r="L89" s="91" t="n">
        <f aca="false">J88*K89</f>
        <v>4.88017489252591</v>
      </c>
      <c r="M89" s="173" t="n">
        <f aca="false">L89*($P$3/1000)</f>
        <v>7.5154693344899</v>
      </c>
    </row>
    <row r="90" customFormat="false" ht="12.8" hidden="false" customHeight="false" outlineLevel="0" collapsed="false">
      <c r="A90" s="70"/>
      <c r="B90" s="70"/>
      <c r="C90" s="70"/>
      <c r="D90" s="70"/>
      <c r="E90" s="70"/>
      <c r="F90" s="70"/>
      <c r="I90" s="174" t="s">
        <v>43</v>
      </c>
      <c r="J90" s="124" t="n">
        <f aca="false">($J$21/K83)*$I$82</f>
        <v>383.875084726081</v>
      </c>
      <c r="K90" s="124" t="n">
        <f aca="false">$L$19/$L$21</f>
        <v>0.991524717133772</v>
      </c>
      <c r="L90" s="124" t="n">
        <f aca="false">J90*K90</f>
        <v>380.62163479773</v>
      </c>
      <c r="M90" s="125" t="n">
        <f aca="false">L90*($O$3/1000)</f>
        <v>406.670466952528</v>
      </c>
    </row>
    <row r="91" customFormat="false" ht="12.8" hidden="false" customHeight="false" outlineLevel="0" collapsed="false">
      <c r="A91" s="70"/>
      <c r="B91" s="70"/>
      <c r="C91" s="70"/>
      <c r="D91" s="70"/>
      <c r="E91" s="70"/>
      <c r="F91" s="70"/>
      <c r="I91" s="174" t="s">
        <v>44</v>
      </c>
      <c r="J91" s="124"/>
      <c r="K91" s="124" t="n">
        <f aca="false">$L$20/$L$21</f>
        <v>0.00847528286622754</v>
      </c>
      <c r="L91" s="124" t="n">
        <f aca="false">J90*K91</f>
        <v>3.2534499283506</v>
      </c>
      <c r="M91" s="125" t="n">
        <f aca="false">L91*($P$3/1000)</f>
        <v>5.01031288965992</v>
      </c>
    </row>
    <row r="92" customFormat="false" ht="12.8" hidden="false" customHeight="false" outlineLevel="0" collapsed="false">
      <c r="A92" s="70"/>
      <c r="B92" s="70"/>
      <c r="C92" s="70"/>
      <c r="D92" s="70"/>
      <c r="E92" s="70"/>
      <c r="F92" s="70"/>
      <c r="I92" s="175" t="s">
        <v>43</v>
      </c>
      <c r="J92" s="176" t="n">
        <f aca="false">($J$24/K84)*$I$82</f>
        <v>1912433.37080051</v>
      </c>
      <c r="K92" s="103" t="n">
        <f aca="false">$L$22/$L$24</f>
        <v>0.991524717133773</v>
      </c>
      <c r="L92" s="103" t="n">
        <f aca="false">J92*K92</f>
        <v>1896224.95702016</v>
      </c>
      <c r="M92" s="177" t="n">
        <f aca="false">L92*($O$3/1000)</f>
        <v>2025998.04692717</v>
      </c>
    </row>
    <row r="93" customFormat="false" ht="12.8" hidden="false" customHeight="false" outlineLevel="0" collapsed="false">
      <c r="A93" s="70"/>
      <c r="B93" s="70"/>
      <c r="C93" s="70"/>
      <c r="D93" s="70"/>
      <c r="E93" s="70"/>
      <c r="F93" s="70"/>
      <c r="I93" s="175" t="s">
        <v>44</v>
      </c>
      <c r="J93" s="176"/>
      <c r="K93" s="103" t="n">
        <f aca="false">$L$23/$L$24</f>
        <v>0.00847528286622754</v>
      </c>
      <c r="L93" s="103" t="n">
        <f aca="false">J92*K93</f>
        <v>16208.4137803473</v>
      </c>
      <c r="M93" s="177" t="n">
        <f aca="false">L93*($P$3/1000)</f>
        <v>24960.9572217349</v>
      </c>
    </row>
    <row r="94" customFormat="false" ht="12.8" hidden="false" customHeight="false" outlineLevel="0" collapsed="false">
      <c r="A94" s="70"/>
      <c r="B94" s="70"/>
      <c r="C94" s="70"/>
      <c r="D94" s="70"/>
      <c r="E94" s="70"/>
      <c r="F94" s="70"/>
      <c r="I94" s="178" t="s">
        <v>43</v>
      </c>
      <c r="J94" s="128" t="n">
        <f aca="false">($J$24/K85)*$I$82</f>
        <v>1274955.58053367</v>
      </c>
      <c r="K94" s="179" t="n">
        <f aca="false">$L$22/$L$24</f>
        <v>0.991524717133773</v>
      </c>
      <c r="L94" s="179" t="n">
        <f aca="false">J94*K94</f>
        <v>1264149.97134677</v>
      </c>
      <c r="M94" s="180" t="n">
        <f aca="false">L94*($O$3/1000)</f>
        <v>1350665.36461811</v>
      </c>
    </row>
    <row r="95" customFormat="false" ht="12.8" hidden="false" customHeight="false" outlineLevel="0" collapsed="false">
      <c r="A95" s="70"/>
      <c r="B95" s="70"/>
      <c r="C95" s="70"/>
      <c r="D95" s="70"/>
      <c r="E95" s="70"/>
      <c r="F95" s="70"/>
      <c r="I95" s="181" t="s">
        <v>44</v>
      </c>
      <c r="J95" s="128"/>
      <c r="K95" s="128" t="n">
        <f aca="false">$L$23/$L$24</f>
        <v>0.00847528286622754</v>
      </c>
      <c r="L95" s="128" t="n">
        <f aca="false">J94*K95</f>
        <v>10805.6091868982</v>
      </c>
      <c r="M95" s="129" t="n">
        <f aca="false">L95*($P$3/1000)</f>
        <v>16640.6381478232</v>
      </c>
    </row>
    <row r="96" customFormat="false" ht="12.8" hidden="false" customHeight="false" outlineLevel="0" collapsed="false">
      <c r="A96" s="70"/>
      <c r="B96" s="70"/>
      <c r="C96" s="70"/>
      <c r="D96" s="70"/>
      <c r="E96" s="70"/>
      <c r="F96" s="70"/>
    </row>
    <row r="97" customFormat="false" ht="12.8" hidden="false" customHeight="false" outlineLevel="0" collapsed="false">
      <c r="A97" s="70"/>
      <c r="B97" s="70"/>
      <c r="C97" s="70"/>
      <c r="D97" s="70"/>
      <c r="E97" s="70"/>
      <c r="F97" s="70"/>
    </row>
    <row r="98" customFormat="false" ht="12.8" hidden="false" customHeight="false" outlineLevel="0" collapsed="false">
      <c r="A98" s="70"/>
      <c r="B98" s="70"/>
      <c r="C98" s="70"/>
      <c r="D98" s="70"/>
      <c r="E98" s="70"/>
      <c r="F98" s="70"/>
    </row>
    <row r="99" customFormat="false" ht="12.8" hidden="false" customHeight="false" outlineLevel="0" collapsed="false">
      <c r="A99" s="70"/>
      <c r="B99" s="70"/>
      <c r="C99" s="70"/>
      <c r="D99" s="70"/>
      <c r="E99" s="70"/>
      <c r="F99" s="70"/>
    </row>
    <row r="100" customFormat="false" ht="12.8" hidden="false" customHeight="false" outlineLevel="0" collapsed="false">
      <c r="A100" s="184"/>
      <c r="B100" s="184"/>
      <c r="C100" s="184"/>
      <c r="D100" s="184"/>
      <c r="E100" s="184"/>
      <c r="F100" s="184"/>
    </row>
  </sheetData>
  <mergeCells count="41">
    <mergeCell ref="I10:P10"/>
    <mergeCell ref="I12:J12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I27:P27"/>
    <mergeCell ref="K30:K31"/>
    <mergeCell ref="L30:L31"/>
    <mergeCell ref="M30:M31"/>
    <mergeCell ref="N30:N31"/>
    <mergeCell ref="O30:O31"/>
    <mergeCell ref="P30:P31"/>
    <mergeCell ref="K32:K33"/>
    <mergeCell ref="L32:L33"/>
    <mergeCell ref="M32:M33"/>
    <mergeCell ref="N32:N33"/>
    <mergeCell ref="O32:O33"/>
    <mergeCell ref="P32:P33"/>
    <mergeCell ref="I42:P42"/>
    <mergeCell ref="I65:M65"/>
    <mergeCell ref="I67:M67"/>
    <mergeCell ref="J71:J72"/>
    <mergeCell ref="J73:J74"/>
    <mergeCell ref="J75:J76"/>
    <mergeCell ref="J77:J78"/>
    <mergeCell ref="I80:M80"/>
    <mergeCell ref="J88:J89"/>
    <mergeCell ref="J90:J91"/>
    <mergeCell ref="J92:J93"/>
    <mergeCell ref="J94:J95"/>
  </mergeCells>
  <dataValidations count="2">
    <dataValidation allowBlank="true" errorStyle="stop" operator="equal" showDropDown="false" showErrorMessage="true" showInputMessage="false" sqref="J2:K2" type="list">
      <formula1>COV!$A$2:$A$100</formula1>
      <formula2>0</formula2>
    </dataValidation>
    <dataValidation allowBlank="true" errorStyle="stop" operator="equal" showDropDown="false" showErrorMessage="true" showInputMessage="false" sqref="J82" type="list">
      <formula1>COV!$I$50:$I$52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4" activeCellId="0" sqref="A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54"/>
    <col collapsed="false" customWidth="true" hidden="false" outlineLevel="0" max="4" min="4" style="0" width="19.1"/>
    <col collapsed="false" customWidth="true" hidden="false" outlineLevel="0" max="5" min="5" style="0" width="17.71"/>
    <col collapsed="false" customWidth="true" hidden="false" outlineLevel="0" max="6" min="6" style="0" width="20.63"/>
    <col collapsed="false" customWidth="true" hidden="false" outlineLevel="0" max="8" min="8" style="0" width="17.71"/>
    <col collapsed="false" customWidth="true" hidden="false" outlineLevel="0" max="9" min="9" style="0" width="19.66"/>
    <col collapsed="false" customWidth="true" hidden="false" outlineLevel="0" max="10" min="10" style="0" width="16.13"/>
    <col collapsed="false" customWidth="true" hidden="false" outlineLevel="0" max="11" min="11" style="0" width="17.71"/>
    <col collapsed="false" customWidth="true" hidden="false" outlineLevel="0" max="12" min="12" style="0" width="19.66"/>
    <col collapsed="false" customWidth="true" hidden="false" outlineLevel="0" max="13" min="13" style="0" width="19.1"/>
  </cols>
  <sheetData>
    <row r="1" customFormat="false" ht="12.8" hidden="false" customHeight="false" outlineLevel="0" collapsed="false">
      <c r="A1" s="141" t="s">
        <v>100</v>
      </c>
      <c r="B1" s="185" t="s">
        <v>101</v>
      </c>
      <c r="C1" s="185" t="s">
        <v>102</v>
      </c>
      <c r="D1" s="185" t="s">
        <v>103</v>
      </c>
      <c r="E1" s="141"/>
      <c r="F1" s="51"/>
      <c r="G1" s="141"/>
      <c r="H1" s="51"/>
      <c r="I1" s="141"/>
      <c r="J1" s="141" t="s">
        <v>104</v>
      </c>
      <c r="K1" s="51"/>
      <c r="L1" s="186" t="s">
        <v>102</v>
      </c>
      <c r="M1" s="186" t="s">
        <v>103</v>
      </c>
    </row>
    <row r="2" customFormat="false" ht="12.8" hidden="false" customHeight="false" outlineLevel="0" collapsed="false">
      <c r="A2" s="141" t="s">
        <v>105</v>
      </c>
      <c r="B2" s="187" t="n">
        <v>0.3133</v>
      </c>
      <c r="C2" s="187" t="n">
        <v>0.1</v>
      </c>
      <c r="D2" s="187" t="n">
        <v>0.3</v>
      </c>
      <c r="E2" s="141"/>
      <c r="F2" s="51"/>
      <c r="G2" s="141"/>
      <c r="H2" s="51"/>
      <c r="I2" s="141"/>
      <c r="J2" s="51"/>
      <c r="K2" s="141"/>
      <c r="L2" s="188" t="n">
        <v>1</v>
      </c>
      <c r="M2" s="188" t="n">
        <v>1.5</v>
      </c>
    </row>
    <row r="3" customFormat="false" ht="12.8" hidden="false" customHeight="false" outlineLevel="0" collapsed="false">
      <c r="A3" s="141"/>
      <c r="B3" s="189" t="n">
        <v>0.4</v>
      </c>
      <c r="C3" s="189" t="n">
        <v>0.128</v>
      </c>
      <c r="D3" s="189" t="n">
        <v>0.4</v>
      </c>
      <c r="E3" s="141"/>
      <c r="F3" s="51"/>
      <c r="G3" s="141"/>
      <c r="H3" s="51"/>
      <c r="I3" s="141"/>
      <c r="J3" s="51"/>
      <c r="K3" s="141"/>
      <c r="L3" s="188" t="n">
        <v>5</v>
      </c>
      <c r="M3" s="188" t="n">
        <v>4</v>
      </c>
    </row>
    <row r="4" customFormat="false" ht="12.8" hidden="false" customHeight="false" outlineLevel="0" collapsed="false">
      <c r="A4" s="141"/>
      <c r="B4" s="189" t="n">
        <v>0.5</v>
      </c>
      <c r="C4" s="189" t="n">
        <v>0.16</v>
      </c>
      <c r="D4" s="189" t="n">
        <v>0.45</v>
      </c>
      <c r="E4" s="141"/>
      <c r="F4" s="51"/>
      <c r="G4" s="141"/>
      <c r="H4" s="51"/>
      <c r="I4" s="141"/>
      <c r="J4" s="51"/>
      <c r="K4" s="141"/>
      <c r="L4" s="188" t="n">
        <v>10</v>
      </c>
      <c r="M4" s="188" t="n">
        <v>8.9</v>
      </c>
    </row>
    <row r="5" customFormat="false" ht="12.8" hidden="false" customHeight="false" outlineLevel="0" collapsed="false">
      <c r="A5" s="141"/>
      <c r="B5" s="189" t="n">
        <v>0.6</v>
      </c>
      <c r="C5" s="189" t="n">
        <v>0.191</v>
      </c>
      <c r="D5" s="189" t="n">
        <v>0.59</v>
      </c>
      <c r="E5" s="141"/>
      <c r="F5" s="51"/>
      <c r="G5" s="141"/>
      <c r="H5" s="51"/>
      <c r="I5" s="141"/>
      <c r="J5" s="51"/>
      <c r="K5" s="141"/>
      <c r="L5" s="188" t="n">
        <v>15</v>
      </c>
      <c r="M5" s="188" t="n">
        <v>13.3</v>
      </c>
    </row>
    <row r="6" customFormat="false" ht="12.8" hidden="false" customHeight="false" outlineLevel="0" collapsed="false">
      <c r="A6" s="141"/>
      <c r="B6" s="189" t="n">
        <v>0.75</v>
      </c>
      <c r="C6" s="189" t="n">
        <v>0.239</v>
      </c>
      <c r="D6" s="189" t="n">
        <v>0.67</v>
      </c>
      <c r="E6" s="141"/>
      <c r="F6" s="51"/>
      <c r="G6" s="141"/>
      <c r="H6" s="51"/>
      <c r="I6" s="141"/>
      <c r="J6" s="51"/>
      <c r="K6" s="141"/>
      <c r="L6" s="188" t="n">
        <v>20</v>
      </c>
      <c r="M6" s="188" t="n">
        <v>17.5</v>
      </c>
    </row>
    <row r="7" customFormat="false" ht="12.8" hidden="false" customHeight="false" outlineLevel="0" collapsed="false">
      <c r="A7" s="141"/>
      <c r="B7" s="189" t="n">
        <v>0.8</v>
      </c>
      <c r="C7" s="189" t="n">
        <v>0.255</v>
      </c>
      <c r="D7" s="189" t="n">
        <v>0.92</v>
      </c>
      <c r="E7" s="141"/>
      <c r="F7" s="51"/>
      <c r="G7" s="141"/>
      <c r="H7" s="51"/>
      <c r="I7" s="141"/>
      <c r="J7" s="51"/>
      <c r="K7" s="141"/>
      <c r="L7" s="188" t="n">
        <v>30</v>
      </c>
      <c r="M7" s="188" t="n">
        <v>26</v>
      </c>
    </row>
    <row r="8" customFormat="false" ht="12.8" hidden="false" customHeight="false" outlineLevel="0" collapsed="false">
      <c r="A8" s="141"/>
      <c r="B8" s="189" t="n">
        <v>0.9</v>
      </c>
      <c r="C8" s="189" t="n">
        <v>0.287</v>
      </c>
      <c r="D8" s="189" t="n">
        <v>1.14</v>
      </c>
      <c r="E8" s="141"/>
      <c r="F8" s="51"/>
      <c r="G8" s="141"/>
      <c r="H8" s="51"/>
      <c r="I8" s="141"/>
      <c r="J8" s="51"/>
      <c r="K8" s="141"/>
      <c r="L8" s="188" t="n">
        <v>50</v>
      </c>
      <c r="M8" s="188" t="n">
        <v>44</v>
      </c>
    </row>
    <row r="9" customFormat="false" ht="12.8" hidden="false" customHeight="false" outlineLevel="0" collapsed="false">
      <c r="A9" s="141"/>
      <c r="B9" s="189" t="n">
        <v>1</v>
      </c>
      <c r="C9" s="189" t="n">
        <v>0.319</v>
      </c>
      <c r="D9" s="189" t="n">
        <v>1.16</v>
      </c>
      <c r="E9" s="141"/>
      <c r="F9" s="51"/>
      <c r="G9" s="141"/>
      <c r="H9" s="51"/>
      <c r="I9" s="141"/>
      <c r="J9" s="51"/>
      <c r="K9" s="141"/>
      <c r="L9" s="188" t="n">
        <v>80</v>
      </c>
      <c r="M9" s="188" t="n">
        <v>69</v>
      </c>
    </row>
    <row r="10" customFormat="false" ht="12.8" hidden="false" customHeight="false" outlineLevel="0" collapsed="false">
      <c r="A10" s="141"/>
      <c r="B10" s="189" t="n">
        <v>1.25</v>
      </c>
      <c r="C10" s="189" t="n">
        <v>0.399</v>
      </c>
      <c r="D10" s="189" t="n">
        <v>1.35</v>
      </c>
      <c r="E10" s="141"/>
      <c r="F10" s="51"/>
      <c r="G10" s="141"/>
      <c r="H10" s="51"/>
      <c r="I10" s="141"/>
      <c r="J10" s="51"/>
      <c r="K10" s="141"/>
      <c r="L10" s="188" t="n">
        <v>100</v>
      </c>
      <c r="M10" s="188" t="n">
        <v>87</v>
      </c>
    </row>
    <row r="11" customFormat="false" ht="12.8" hidden="false" customHeight="false" outlineLevel="0" collapsed="false">
      <c r="A11" s="141"/>
      <c r="B11" s="189" t="n">
        <v>1.5</v>
      </c>
      <c r="C11" s="189" t="n">
        <v>0.479</v>
      </c>
      <c r="D11" s="189" t="n">
        <v>1.43</v>
      </c>
      <c r="E11" s="141"/>
      <c r="F11" s="51"/>
      <c r="G11" s="141"/>
      <c r="H11" s="51"/>
      <c r="I11" s="141"/>
      <c r="J11" s="51"/>
      <c r="K11" s="141"/>
      <c r="L11" s="188" t="n">
        <v>120</v>
      </c>
      <c r="M11" s="188" t="n">
        <v>104</v>
      </c>
    </row>
    <row r="12" customFormat="false" ht="12.8" hidden="false" customHeight="false" outlineLevel="0" collapsed="false">
      <c r="A12" s="141"/>
      <c r="B12" s="190" t="n">
        <v>1.75</v>
      </c>
      <c r="C12" s="190" t="n">
        <v>0.559</v>
      </c>
      <c r="D12" s="190" t="n">
        <v>1.67</v>
      </c>
      <c r="E12" s="141"/>
      <c r="F12" s="51"/>
      <c r="G12" s="141"/>
      <c r="H12" s="51"/>
      <c r="I12" s="141"/>
      <c r="J12" s="51"/>
      <c r="K12" s="141"/>
      <c r="L12" s="191" t="n">
        <v>200</v>
      </c>
      <c r="M12" s="191" t="n">
        <v>168</v>
      </c>
    </row>
    <row r="13" customFormat="false" ht="12.8" hidden="false" customHeight="false" outlineLevel="0" collapsed="false">
      <c r="A13" s="141"/>
      <c r="B13" s="141"/>
      <c r="C13" s="141"/>
      <c r="D13" s="141"/>
      <c r="E13" s="141"/>
      <c r="F13" s="51"/>
      <c r="G13" s="141"/>
      <c r="H13" s="51"/>
      <c r="I13" s="141"/>
      <c r="J13" s="141"/>
      <c r="K13" s="141"/>
      <c r="L13" s="141"/>
      <c r="M13" s="141"/>
    </row>
    <row r="14" customFormat="false" ht="12.8" hidden="false" customHeight="false" outlineLevel="0" collapsed="false">
      <c r="A14" s="141"/>
      <c r="B14" s="141"/>
      <c r="C14" s="141"/>
      <c r="D14" s="141"/>
      <c r="E14" s="141"/>
      <c r="F14" s="51"/>
      <c r="G14" s="141"/>
      <c r="H14" s="51"/>
      <c r="I14" s="141"/>
      <c r="J14" s="141"/>
      <c r="K14" s="141"/>
      <c r="L14" s="141"/>
      <c r="M14" s="141"/>
    </row>
    <row r="15" customFormat="false" ht="12.8" hidden="false" customHeight="false" outlineLevel="0" collapsed="false">
      <c r="A15" s="141"/>
      <c r="B15" s="141"/>
      <c r="C15" s="141"/>
      <c r="D15" s="141"/>
      <c r="E15" s="141"/>
      <c r="F15" s="51"/>
      <c r="G15" s="141"/>
      <c r="H15" s="51"/>
      <c r="I15" s="141"/>
      <c r="J15" s="141"/>
      <c r="K15" s="141"/>
      <c r="L15" s="141"/>
      <c r="M15" s="141"/>
    </row>
    <row r="16" customFormat="false" ht="12.8" hidden="false" customHeight="false" outlineLevel="0" collapsed="false">
      <c r="A16" s="141"/>
      <c r="B16" s="141"/>
      <c r="C16" s="141"/>
      <c r="D16" s="141"/>
      <c r="E16" s="141"/>
      <c r="F16" s="51"/>
      <c r="G16" s="141"/>
      <c r="H16" s="51"/>
      <c r="I16" s="141"/>
      <c r="J16" s="141"/>
      <c r="K16" s="141"/>
      <c r="L16" s="141"/>
      <c r="M16" s="141"/>
    </row>
    <row r="17" customFormat="false" ht="12.8" hidden="false" customHeight="false" outlineLevel="0" collapsed="false">
      <c r="A17" s="141"/>
      <c r="B17" s="141"/>
      <c r="C17" s="141"/>
      <c r="D17" s="141"/>
      <c r="E17" s="141"/>
      <c r="F17" s="51"/>
      <c r="G17" s="141"/>
      <c r="H17" s="51"/>
      <c r="I17" s="141"/>
      <c r="J17" s="141"/>
      <c r="K17" s="141"/>
      <c r="L17" s="141"/>
      <c r="M17" s="141"/>
    </row>
    <row r="18" customFormat="false" ht="12.8" hidden="false" customHeight="false" outlineLevel="0" collapsed="false">
      <c r="A18" s="141"/>
      <c r="B18" s="141"/>
      <c r="C18" s="141"/>
      <c r="D18" s="141"/>
      <c r="E18" s="141"/>
      <c r="F18" s="51"/>
      <c r="G18" s="141"/>
      <c r="H18" s="51"/>
      <c r="I18" s="141"/>
      <c r="J18" s="141"/>
      <c r="K18" s="141"/>
      <c r="L18" s="141"/>
      <c r="M18" s="141"/>
    </row>
    <row r="19" customFormat="false" ht="12.8" hidden="false" customHeight="false" outlineLevel="0" collapsed="false">
      <c r="A19" s="141"/>
      <c r="B19" s="141"/>
      <c r="C19" s="141"/>
      <c r="D19" s="141"/>
      <c r="E19" s="141"/>
      <c r="F19" s="51"/>
      <c r="G19" s="141"/>
      <c r="H19" s="51"/>
      <c r="I19" s="141"/>
      <c r="J19" s="141"/>
      <c r="K19" s="141"/>
      <c r="L19" s="141"/>
      <c r="M19" s="141"/>
    </row>
    <row r="20" customFormat="false" ht="12.8" hidden="false" customHeight="false" outlineLevel="0" collapsed="false">
      <c r="A20" s="141"/>
      <c r="B20" s="141"/>
      <c r="C20" s="141"/>
      <c r="D20" s="141"/>
      <c r="E20" s="141"/>
      <c r="F20" s="51"/>
      <c r="G20" s="141"/>
      <c r="H20" s="51"/>
      <c r="I20" s="141"/>
      <c r="J20" s="141"/>
      <c r="K20" s="141"/>
      <c r="L20" s="141"/>
      <c r="M20" s="141"/>
    </row>
    <row r="21" customFormat="false" ht="12.8" hidden="false" customHeight="false" outlineLevel="0" collapsed="false">
      <c r="A21" s="141"/>
      <c r="B21" s="141"/>
      <c r="C21" s="141"/>
      <c r="D21" s="141"/>
      <c r="E21" s="141"/>
      <c r="F21" s="51"/>
      <c r="G21" s="141"/>
      <c r="H21" s="51"/>
      <c r="I21" s="141"/>
      <c r="J21" s="141"/>
      <c r="K21" s="141"/>
      <c r="L21" s="141"/>
      <c r="M21" s="141"/>
    </row>
    <row r="22" customFormat="false" ht="12.8" hidden="false" customHeight="false" outlineLevel="0" collapsed="false">
      <c r="A22" s="51"/>
      <c r="B22" s="51"/>
      <c r="C22" s="51"/>
      <c r="D22" s="51"/>
      <c r="E22" s="141"/>
      <c r="F22" s="51"/>
      <c r="G22" s="141"/>
      <c r="H22" s="51"/>
      <c r="I22" s="141"/>
      <c r="J22" s="51"/>
      <c r="K22" s="51"/>
      <c r="L22" s="51"/>
      <c r="M22" s="51"/>
    </row>
    <row r="23" customFormat="false" ht="12.8" hidden="false" customHeight="false" outlineLevel="0" collapsed="false">
      <c r="A23" s="51"/>
      <c r="B23" s="51"/>
      <c r="C23" s="51"/>
      <c r="D23" s="51"/>
      <c r="E23" s="141"/>
      <c r="F23" s="51"/>
      <c r="G23" s="141"/>
      <c r="H23" s="51"/>
      <c r="I23" s="141"/>
      <c r="J23" s="51"/>
      <c r="K23" s="51"/>
      <c r="L23" s="51"/>
      <c r="M23" s="51"/>
    </row>
    <row r="24" customFormat="false" ht="12.8" hidden="false" customHeight="false" outlineLevel="0" collapsed="false">
      <c r="A24" s="51"/>
      <c r="B24" s="51"/>
      <c r="C24" s="51"/>
      <c r="D24" s="51"/>
      <c r="E24" s="141"/>
      <c r="F24" s="51"/>
      <c r="G24" s="141"/>
      <c r="H24" s="51"/>
      <c r="I24" s="141"/>
    </row>
    <row r="25" customFormat="false" ht="12.8" hidden="false" customHeight="false" outlineLevel="0" collapsed="false">
      <c r="A25" s="141" t="s">
        <v>106</v>
      </c>
      <c r="B25" s="186" t="s">
        <v>101</v>
      </c>
      <c r="C25" s="186" t="s">
        <v>102</v>
      </c>
      <c r="D25" s="186" t="s">
        <v>103</v>
      </c>
      <c r="E25" s="141"/>
      <c r="F25" s="51"/>
      <c r="G25" s="141"/>
      <c r="H25" s="51"/>
      <c r="I25" s="141"/>
      <c r="J25" s="141" t="s">
        <v>107</v>
      </c>
      <c r="K25" s="186" t="s">
        <v>101</v>
      </c>
      <c r="L25" s="186" t="s">
        <v>102</v>
      </c>
      <c r="M25" s="186" t="s">
        <v>103</v>
      </c>
    </row>
    <row r="26" customFormat="false" ht="12.8" hidden="false" customHeight="false" outlineLevel="0" collapsed="false">
      <c r="A26" s="141" t="s">
        <v>108</v>
      </c>
      <c r="B26" s="188"/>
      <c r="C26" s="188"/>
      <c r="D26" s="188"/>
      <c r="E26" s="141"/>
      <c r="F26" s="51"/>
      <c r="G26" s="141"/>
      <c r="H26" s="51"/>
      <c r="I26" s="141"/>
      <c r="J26" s="141" t="s">
        <v>109</v>
      </c>
      <c r="K26" s="188"/>
      <c r="L26" s="188"/>
      <c r="M26" s="188"/>
    </row>
    <row r="27" customFormat="false" ht="12.8" hidden="false" customHeight="false" outlineLevel="0" collapsed="false">
      <c r="A27" s="141"/>
      <c r="B27" s="188"/>
      <c r="C27" s="188"/>
      <c r="D27" s="188"/>
      <c r="E27" s="141"/>
      <c r="F27" s="51"/>
      <c r="G27" s="141"/>
      <c r="H27" s="51"/>
      <c r="I27" s="141"/>
      <c r="J27" s="141" t="s">
        <v>110</v>
      </c>
      <c r="K27" s="188"/>
      <c r="L27" s="188"/>
      <c r="M27" s="188"/>
    </row>
    <row r="28" customFormat="false" ht="12.8" hidden="false" customHeight="false" outlineLevel="0" collapsed="false">
      <c r="A28" s="141"/>
      <c r="B28" s="188"/>
      <c r="C28" s="188"/>
      <c r="D28" s="188"/>
      <c r="E28" s="141"/>
      <c r="F28" s="51"/>
      <c r="G28" s="141"/>
      <c r="H28" s="51"/>
      <c r="I28" s="141"/>
      <c r="J28" s="141"/>
      <c r="K28" s="188"/>
      <c r="L28" s="188"/>
      <c r="M28" s="188"/>
    </row>
    <row r="29" customFormat="false" ht="12.8" hidden="false" customHeight="false" outlineLevel="0" collapsed="false">
      <c r="A29" s="141"/>
      <c r="B29" s="188"/>
      <c r="C29" s="188"/>
      <c r="D29" s="188"/>
      <c r="E29" s="141"/>
      <c r="F29" s="51"/>
      <c r="G29" s="141"/>
      <c r="H29" s="51"/>
      <c r="I29" s="141"/>
      <c r="J29" s="141"/>
      <c r="K29" s="188"/>
      <c r="L29" s="188"/>
      <c r="M29" s="188"/>
    </row>
    <row r="30" customFormat="false" ht="12.8" hidden="false" customHeight="false" outlineLevel="0" collapsed="false">
      <c r="A30" s="141"/>
      <c r="B30" s="188"/>
      <c r="C30" s="188"/>
      <c r="D30" s="188"/>
      <c r="E30" s="141"/>
      <c r="F30" s="51"/>
      <c r="G30" s="141"/>
      <c r="H30" s="51"/>
      <c r="I30" s="141"/>
      <c r="J30" s="141"/>
      <c r="K30" s="188"/>
      <c r="L30" s="188"/>
      <c r="M30" s="188"/>
    </row>
    <row r="31" customFormat="false" ht="12.8" hidden="false" customHeight="false" outlineLevel="0" collapsed="false">
      <c r="A31" s="141"/>
      <c r="B31" s="188"/>
      <c r="C31" s="188"/>
      <c r="D31" s="188"/>
      <c r="E31" s="141"/>
      <c r="F31" s="51"/>
      <c r="G31" s="141"/>
      <c r="H31" s="51"/>
      <c r="I31" s="141"/>
      <c r="J31" s="141"/>
      <c r="K31" s="188"/>
      <c r="L31" s="188"/>
      <c r="M31" s="188"/>
    </row>
    <row r="32" customFormat="false" ht="12.8" hidden="false" customHeight="false" outlineLevel="0" collapsed="false">
      <c r="A32" s="141"/>
      <c r="B32" s="188"/>
      <c r="C32" s="188"/>
      <c r="D32" s="188"/>
      <c r="E32" s="141"/>
      <c r="F32" s="51"/>
      <c r="G32" s="141"/>
      <c r="H32" s="51"/>
      <c r="I32" s="141"/>
      <c r="J32" s="141"/>
      <c r="K32" s="188"/>
      <c r="L32" s="188"/>
      <c r="M32" s="188"/>
    </row>
    <row r="33" customFormat="false" ht="12.8" hidden="false" customHeight="false" outlineLevel="0" collapsed="false">
      <c r="A33" s="141"/>
      <c r="B33" s="188"/>
      <c r="C33" s="188"/>
      <c r="D33" s="188"/>
      <c r="E33" s="141"/>
      <c r="F33" s="51"/>
      <c r="G33" s="141"/>
      <c r="H33" s="51"/>
      <c r="I33" s="141"/>
      <c r="J33" s="141"/>
      <c r="K33" s="188"/>
      <c r="L33" s="188"/>
      <c r="M33" s="188"/>
    </row>
    <row r="34" customFormat="false" ht="12.8" hidden="false" customHeight="false" outlineLevel="0" collapsed="false">
      <c r="A34" s="141"/>
      <c r="B34" s="188"/>
      <c r="C34" s="188"/>
      <c r="D34" s="188"/>
      <c r="E34" s="141"/>
      <c r="F34" s="51"/>
      <c r="G34" s="141"/>
      <c r="H34" s="51"/>
      <c r="I34" s="141"/>
      <c r="J34" s="141"/>
      <c r="K34" s="188"/>
      <c r="L34" s="188"/>
      <c r="M34" s="188"/>
    </row>
    <row r="35" customFormat="false" ht="12.8" hidden="false" customHeight="false" outlineLevel="0" collapsed="false">
      <c r="A35" s="141"/>
      <c r="B35" s="188"/>
      <c r="C35" s="188"/>
      <c r="D35" s="188"/>
      <c r="E35" s="141"/>
      <c r="F35" s="51"/>
      <c r="G35" s="141"/>
      <c r="H35" s="51"/>
      <c r="I35" s="141"/>
      <c r="J35" s="141"/>
      <c r="K35" s="188"/>
      <c r="L35" s="188"/>
      <c r="M35" s="188"/>
    </row>
    <row r="36" customFormat="false" ht="12.8" hidden="false" customHeight="false" outlineLevel="0" collapsed="false">
      <c r="A36" s="141"/>
      <c r="B36" s="191"/>
      <c r="C36" s="191"/>
      <c r="D36" s="191"/>
      <c r="E36" s="141"/>
      <c r="F36" s="51"/>
      <c r="G36" s="141"/>
      <c r="H36" s="51"/>
      <c r="I36" s="141"/>
      <c r="J36" s="141"/>
      <c r="K36" s="191"/>
      <c r="L36" s="191"/>
      <c r="M36" s="191"/>
    </row>
    <row r="37" customFormat="false" ht="12.8" hidden="false" customHeight="false" outlineLevel="0" collapsed="false">
      <c r="A37" s="141"/>
      <c r="B37" s="141"/>
      <c r="C37" s="141"/>
      <c r="D37" s="141"/>
      <c r="E37" s="141"/>
      <c r="F37" s="51"/>
      <c r="G37" s="141"/>
      <c r="H37" s="51"/>
      <c r="I37" s="141"/>
      <c r="J37" s="141"/>
      <c r="K37" s="141"/>
      <c r="L37" s="141"/>
      <c r="M37" s="141"/>
      <c r="N37" s="141"/>
      <c r="O37" s="141"/>
    </row>
    <row r="38" customFormat="false" ht="12.8" hidden="false" customHeight="false" outlineLevel="0" collapsed="false">
      <c r="A38" s="141"/>
      <c r="B38" s="141"/>
      <c r="C38" s="141"/>
      <c r="D38" s="141"/>
      <c r="E38" s="141"/>
      <c r="F38" s="51"/>
      <c r="G38" s="141"/>
      <c r="H38" s="51"/>
      <c r="I38" s="141"/>
      <c r="J38" s="141"/>
      <c r="K38" s="141"/>
      <c r="L38" s="141"/>
      <c r="M38" s="141"/>
      <c r="N38" s="141"/>
      <c r="O38" s="141"/>
    </row>
    <row r="39" customFormat="false" ht="12.8" hidden="false" customHeight="false" outlineLevel="0" collapsed="false">
      <c r="A39" s="192"/>
      <c r="B39" s="192"/>
      <c r="C39" s="192"/>
      <c r="D39" s="192"/>
      <c r="E39" s="192"/>
      <c r="G39" s="192"/>
      <c r="I39" s="192"/>
      <c r="J39" s="192"/>
      <c r="K39" s="192"/>
      <c r="L39" s="192"/>
      <c r="M39" s="192"/>
      <c r="N39" s="192"/>
      <c r="O39" s="192"/>
    </row>
    <row r="40" customFormat="false" ht="12.8" hidden="false" customHeight="false" outlineLevel="0" collapsed="false">
      <c r="A40" s="192"/>
      <c r="B40" s="192"/>
      <c r="C40" s="192"/>
      <c r="D40" s="192"/>
      <c r="E40" s="192"/>
      <c r="G40" s="192"/>
      <c r="I40" s="192"/>
      <c r="J40" s="192"/>
      <c r="K40" s="192"/>
      <c r="L40" s="192"/>
      <c r="M40" s="192"/>
      <c r="N40" s="192"/>
      <c r="O40" s="192"/>
    </row>
    <row r="41" customFormat="false" ht="12.8" hidden="false" customHeight="false" outlineLevel="0" collapsed="false">
      <c r="A41" s="192"/>
      <c r="B41" s="192"/>
      <c r="C41" s="192"/>
      <c r="D41" s="192"/>
      <c r="E41" s="192"/>
      <c r="G41" s="192"/>
      <c r="I41" s="192"/>
      <c r="J41" s="192"/>
      <c r="K41" s="192"/>
      <c r="L41" s="192"/>
      <c r="M41" s="192"/>
      <c r="N41" s="192"/>
      <c r="O41" s="192"/>
    </row>
    <row r="42" customFormat="false" ht="12.8" hidden="false" customHeight="false" outlineLevel="0" collapsed="false">
      <c r="A42" s="192"/>
      <c r="B42" s="192"/>
      <c r="C42" s="192"/>
      <c r="D42" s="192"/>
      <c r="E42" s="192"/>
      <c r="G42" s="192"/>
      <c r="I42" s="192"/>
      <c r="J42" s="192"/>
      <c r="K42" s="192"/>
      <c r="L42" s="192"/>
      <c r="M42" s="192"/>
      <c r="N42" s="192"/>
      <c r="O42" s="192"/>
    </row>
    <row r="43" customFormat="false" ht="12.8" hidden="false" customHeight="false" outlineLevel="0" collapsed="false">
      <c r="A43" s="192"/>
      <c r="B43" s="192"/>
      <c r="C43" s="192"/>
      <c r="D43" s="192"/>
      <c r="E43" s="192"/>
      <c r="G43" s="192"/>
      <c r="I43" s="192"/>
      <c r="J43" s="192"/>
      <c r="K43" s="192"/>
      <c r="L43" s="192"/>
      <c r="M43" s="192"/>
      <c r="N43" s="192"/>
      <c r="O43" s="192"/>
    </row>
    <row r="44" customFormat="false" ht="12.8" hidden="false" customHeight="false" outlineLevel="0" collapsed="false">
      <c r="A44" s="192"/>
      <c r="B44" s="192"/>
      <c r="C44" s="192"/>
      <c r="D44" s="192"/>
      <c r="E44" s="192"/>
      <c r="G44" s="192"/>
      <c r="I44" s="192"/>
      <c r="J44" s="192"/>
      <c r="K44" s="192"/>
      <c r="L44" s="192"/>
      <c r="M44" s="192"/>
      <c r="N44" s="192"/>
      <c r="O44" s="192"/>
    </row>
    <row r="45" customFormat="false" ht="12.8" hidden="false" customHeight="false" outlineLevel="0" collapsed="false">
      <c r="A45" s="192"/>
      <c r="B45" s="192"/>
      <c r="C45" s="192"/>
      <c r="D45" s="192"/>
      <c r="E45" s="192"/>
      <c r="G45" s="192"/>
      <c r="I45" s="192"/>
      <c r="J45" s="192"/>
      <c r="K45" s="192"/>
      <c r="L45" s="192"/>
      <c r="M45" s="192"/>
      <c r="N45" s="192"/>
      <c r="O45" s="192"/>
    </row>
    <row r="46" customFormat="false" ht="12.8" hidden="false" customHeight="false" outlineLevel="0" collapsed="false">
      <c r="A46" s="192"/>
      <c r="B46" s="192"/>
      <c r="C46" s="192"/>
      <c r="D46" s="192"/>
      <c r="E46" s="192"/>
      <c r="G46" s="192"/>
      <c r="I46" s="192"/>
      <c r="J46" s="192"/>
      <c r="K46" s="192"/>
      <c r="L46" s="192"/>
      <c r="M46" s="192"/>
      <c r="N46" s="192"/>
      <c r="O46" s="192"/>
    </row>
    <row r="47" customFormat="false" ht="12.8" hidden="false" customHeight="false" outlineLevel="0" collapsed="false">
      <c r="A47" s="192"/>
      <c r="B47" s="192"/>
      <c r="C47" s="192"/>
      <c r="D47" s="192"/>
      <c r="E47" s="192"/>
      <c r="G47" s="192"/>
      <c r="I47" s="192"/>
      <c r="J47" s="192"/>
      <c r="K47" s="192"/>
      <c r="L47" s="192"/>
      <c r="M47" s="192"/>
      <c r="N47" s="192"/>
      <c r="O47" s="192"/>
    </row>
    <row r="48" customFormat="false" ht="12.8" hidden="false" customHeight="false" outlineLevel="0" collapsed="false">
      <c r="A48" s="192"/>
      <c r="B48" s="192"/>
      <c r="C48" s="192"/>
      <c r="D48" s="192"/>
      <c r="E48" s="192"/>
      <c r="G48" s="192"/>
      <c r="I48" s="192"/>
      <c r="J48" s="192"/>
      <c r="K48" s="192"/>
      <c r="L48" s="192"/>
      <c r="M48" s="192"/>
      <c r="N48" s="192"/>
      <c r="O48" s="192"/>
    </row>
    <row r="49" customFormat="false" ht="12.8" hidden="false" customHeight="false" outlineLevel="0" collapsed="false">
      <c r="A49" s="192"/>
      <c r="B49" s="192"/>
      <c r="C49" s="192"/>
      <c r="D49" s="192"/>
      <c r="E49" s="192"/>
      <c r="G49" s="192"/>
      <c r="I49" s="192"/>
      <c r="J49" s="192"/>
      <c r="K49" s="192"/>
      <c r="L49" s="192"/>
      <c r="M49" s="192"/>
      <c r="N49" s="192"/>
      <c r="O49" s="192"/>
    </row>
    <row r="50" customFormat="false" ht="12.8" hidden="false" customHeight="false" outlineLevel="0" collapsed="false">
      <c r="A50" s="192"/>
      <c r="B50" s="192"/>
      <c r="C50" s="192"/>
      <c r="D50" s="192"/>
      <c r="E50" s="192"/>
      <c r="G50" s="192"/>
      <c r="I50" s="192"/>
      <c r="J50" s="192"/>
      <c r="K50" s="192"/>
      <c r="L50" s="192"/>
      <c r="M50" s="192"/>
      <c r="N50" s="192"/>
      <c r="O50" s="192"/>
    </row>
    <row r="51" customFormat="false" ht="12.8" hidden="false" customHeight="false" outlineLevel="0" collapsed="false">
      <c r="A51" s="192"/>
      <c r="B51" s="192"/>
      <c r="C51" s="192"/>
      <c r="D51" s="192"/>
      <c r="E51" s="192"/>
      <c r="G51" s="192"/>
      <c r="I51" s="192"/>
      <c r="J51" s="192"/>
      <c r="K51" s="192"/>
      <c r="L51" s="192"/>
      <c r="M51" s="192"/>
      <c r="N51" s="192"/>
      <c r="O51" s="192"/>
    </row>
    <row r="52" customFormat="false" ht="12.8" hidden="false" customHeight="false" outlineLevel="0" collapsed="false">
      <c r="A52" s="192"/>
      <c r="B52" s="192"/>
      <c r="C52" s="192"/>
      <c r="D52" s="192"/>
      <c r="E52" s="192"/>
      <c r="G52" s="192"/>
      <c r="I52" s="192"/>
      <c r="J52" s="192"/>
      <c r="K52" s="192"/>
      <c r="L52" s="192"/>
      <c r="M52" s="192"/>
      <c r="N52" s="192"/>
      <c r="O52" s="192"/>
    </row>
    <row r="53" customFormat="false" ht="12.8" hidden="false" customHeight="false" outlineLevel="0" collapsed="false">
      <c r="C53" s="141"/>
      <c r="D53" s="141"/>
      <c r="E53" s="141"/>
      <c r="F53" s="51"/>
      <c r="G53" s="51"/>
      <c r="H53" s="186" t="s">
        <v>111</v>
      </c>
      <c r="I53" s="186"/>
      <c r="J53" s="186"/>
      <c r="K53" s="186"/>
      <c r="L53" s="186"/>
      <c r="M53" s="192"/>
      <c r="N53" s="192"/>
      <c r="O53" s="192"/>
    </row>
    <row r="54" customFormat="false" ht="12.8" hidden="false" customHeight="false" outlineLevel="0" collapsed="false">
      <c r="C54" s="141"/>
      <c r="D54" s="141"/>
      <c r="E54" s="186" t="s">
        <v>112</v>
      </c>
      <c r="F54" s="186"/>
      <c r="G54" s="51"/>
      <c r="H54" s="186" t="s">
        <v>113</v>
      </c>
      <c r="I54" s="186"/>
      <c r="J54" s="51"/>
      <c r="K54" s="186" t="s">
        <v>114</v>
      </c>
      <c r="L54" s="186"/>
      <c r="M54" s="192"/>
      <c r="N54" s="192"/>
      <c r="O54" s="192"/>
    </row>
    <row r="55" customFormat="false" ht="12.8" hidden="false" customHeight="false" outlineLevel="0" collapsed="false">
      <c r="A55" s="193" t="s">
        <v>115</v>
      </c>
      <c r="B55" s="194" t="n">
        <v>1</v>
      </c>
      <c r="C55" s="141"/>
      <c r="D55" s="193" t="s">
        <v>116</v>
      </c>
      <c r="E55" s="195" t="n">
        <v>30</v>
      </c>
      <c r="F55" s="196"/>
      <c r="G55" s="197"/>
      <c r="H55" s="195" t="n">
        <v>3</v>
      </c>
      <c r="I55" s="198"/>
      <c r="J55" s="199"/>
      <c r="K55" s="200" t="n">
        <v>12</v>
      </c>
      <c r="L55" s="201"/>
      <c r="M55" s="192"/>
      <c r="N55" s="192"/>
      <c r="O55" s="192"/>
    </row>
    <row r="56" customFormat="false" ht="12.8" hidden="false" customHeight="false" outlineLevel="0" collapsed="false">
      <c r="A56" s="191" t="s">
        <v>117</v>
      </c>
      <c r="B56" s="202" t="n">
        <v>4</v>
      </c>
      <c r="C56" s="141"/>
      <c r="D56" s="188" t="s">
        <v>103</v>
      </c>
      <c r="E56" s="195" t="n">
        <v>1000</v>
      </c>
      <c r="F56" s="198"/>
      <c r="G56" s="197"/>
      <c r="H56" s="195" t="n">
        <v>1000</v>
      </c>
      <c r="I56" s="198"/>
      <c r="J56" s="199"/>
      <c r="K56" s="195" t="n">
        <v>4000</v>
      </c>
      <c r="L56" s="203"/>
      <c r="M56" s="192"/>
      <c r="N56" s="192"/>
      <c r="O56" s="192"/>
    </row>
    <row r="57" customFormat="false" ht="12.8" hidden="false" customHeight="false" outlineLevel="0" collapsed="false">
      <c r="A57" s="141"/>
      <c r="B57" s="141"/>
      <c r="C57" s="141"/>
      <c r="D57" s="188" t="s">
        <v>118</v>
      </c>
      <c r="E57" s="195" t="n">
        <f aca="false">E56/E55</f>
        <v>33.3333333333333</v>
      </c>
      <c r="F57" s="198"/>
      <c r="G57" s="197"/>
      <c r="H57" s="195" t="n">
        <f aca="false">H56/H55</f>
        <v>333.333333333333</v>
      </c>
      <c r="I57" s="198"/>
      <c r="J57" s="199"/>
      <c r="K57" s="195" t="n">
        <f aca="false">K56/K55</f>
        <v>333.333333333333</v>
      </c>
      <c r="L57" s="203"/>
      <c r="M57" s="192"/>
      <c r="N57" s="192"/>
      <c r="O57" s="192"/>
    </row>
    <row r="58" customFormat="false" ht="12.8" hidden="false" customHeight="false" outlineLevel="0" collapsed="false">
      <c r="A58" s="141"/>
      <c r="B58" s="141"/>
      <c r="C58" s="141"/>
      <c r="D58" s="188" t="s">
        <v>119</v>
      </c>
      <c r="E58" s="195" t="n">
        <f aca="false">E57/$B$55</f>
        <v>33.3333333333333</v>
      </c>
      <c r="F58" s="198"/>
      <c r="G58" s="197"/>
      <c r="H58" s="195" t="n">
        <f aca="false">H57/$B$55</f>
        <v>333.333333333333</v>
      </c>
      <c r="I58" s="198"/>
      <c r="J58" s="197"/>
      <c r="K58" s="195" t="n">
        <f aca="false">K57/$B$55</f>
        <v>333.333333333333</v>
      </c>
      <c r="L58" s="203"/>
      <c r="M58" s="192"/>
      <c r="N58" s="192"/>
      <c r="O58" s="192"/>
    </row>
    <row r="59" customFormat="false" ht="12.8" hidden="false" customHeight="false" outlineLevel="0" collapsed="false">
      <c r="A59" s="141"/>
      <c r="B59" s="141"/>
      <c r="C59" s="141"/>
      <c r="D59" s="191" t="s">
        <v>120</v>
      </c>
      <c r="E59" s="195" t="n">
        <f aca="false">E58/$B$56</f>
        <v>8.33333333333333</v>
      </c>
      <c r="F59" s="198"/>
      <c r="G59" s="197"/>
      <c r="H59" s="195" t="n">
        <f aca="false">H58/$B$56</f>
        <v>83.3333333333333</v>
      </c>
      <c r="I59" s="198"/>
      <c r="J59" s="199"/>
      <c r="K59" s="195" t="n">
        <f aca="false">K58/($B$56*2)</f>
        <v>41.6666666666667</v>
      </c>
      <c r="L59" s="203"/>
      <c r="O59" s="192"/>
    </row>
    <row r="60" customFormat="false" ht="12.8" hidden="false" customHeight="false" outlineLevel="0" collapsed="false">
      <c r="A60" s="141"/>
      <c r="B60" s="141"/>
      <c r="C60" s="141"/>
      <c r="D60" s="204" t="s">
        <v>121</v>
      </c>
      <c r="E60" s="200" t="n">
        <f aca="false" t="array" ref="E60:F60">LINEST(C2:C12,D2:D12)</f>
        <v>0.305306543235851</v>
      </c>
      <c r="F60" s="201" t="n">
        <v>0.00350091310751105</v>
      </c>
      <c r="G60" s="205"/>
      <c r="H60" s="200" t="e">
        <f aca="false" t="array" ref="H60:I60">LINEST(C26:C36,D26:D36)</f>
        <v>#VALUE!</v>
      </c>
      <c r="I60" s="201" t="e">
        <v>#VALUE!</v>
      </c>
      <c r="J60" s="206"/>
      <c r="K60" s="200" t="e">
        <f aca="false" t="array" ref="K60:L60">LINEST(L26:L36,M26:M36)</f>
        <v>#VALUE!</v>
      </c>
      <c r="L60" s="201" t="e">
        <v>#VALUE!</v>
      </c>
      <c r="N60" s="192"/>
      <c r="O60" s="192"/>
    </row>
    <row r="61" customFormat="false" ht="12.8" hidden="false" customHeight="false" outlineLevel="0" collapsed="false">
      <c r="A61" s="141"/>
      <c r="B61" s="141"/>
      <c r="C61" s="141"/>
      <c r="D61" s="140" t="s">
        <v>102</v>
      </c>
      <c r="E61" s="195" t="n">
        <f aca="false">(E59*E60)+F60</f>
        <v>2.5477221067396</v>
      </c>
      <c r="F61" s="198"/>
      <c r="G61" s="199"/>
      <c r="H61" s="195" t="e">
        <f aca="false">(H59*H60)+I60</f>
        <v>#VALUE!</v>
      </c>
      <c r="I61" s="203"/>
      <c r="J61" s="197"/>
      <c r="K61" s="195" t="e">
        <f aca="false">(K59*K60)+L60</f>
        <v>#VALUE!</v>
      </c>
      <c r="L61" s="203"/>
      <c r="M61" s="192"/>
      <c r="N61" s="192"/>
      <c r="O61" s="192"/>
    </row>
    <row r="62" customFormat="false" ht="12.8" hidden="false" customHeight="false" outlineLevel="0" collapsed="false">
      <c r="A62" s="51"/>
      <c r="B62" s="51"/>
      <c r="C62" s="141"/>
      <c r="D62" s="140" t="s">
        <v>122</v>
      </c>
      <c r="E62" s="195" t="n">
        <f aca="false" t="array" ref="E62:F62">LINEST(B2:B12,C2:C12)</f>
        <v>3.13108183713084</v>
      </c>
      <c r="F62" s="203" t="n">
        <v>0.000622635954573363</v>
      </c>
      <c r="G62" s="199"/>
      <c r="H62" s="195" t="e">
        <f aca="false" t="array" ref="H62:I62">LINEST(B26:B36,C26:C36)</f>
        <v>#VALUE!</v>
      </c>
      <c r="I62" s="203" t="e">
        <v>#VALUE!</v>
      </c>
      <c r="J62" s="197"/>
      <c r="K62" s="207" t="e">
        <f aca="false" t="array" ref="K62:L62">LINEST(K26:K36,L26:L36)</f>
        <v>#VALUE!</v>
      </c>
      <c r="L62" s="203" t="e">
        <v>#VALUE!</v>
      </c>
      <c r="M62" s="192"/>
    </row>
    <row r="63" customFormat="false" ht="12.8" hidden="false" customHeight="false" outlineLevel="0" collapsed="false">
      <c r="A63" s="51"/>
      <c r="B63" s="51"/>
      <c r="C63" s="141"/>
      <c r="D63" s="208" t="s">
        <v>101</v>
      </c>
      <c r="E63" s="209" t="n">
        <f aca="false">(E62*E61)+F62</f>
        <v>7.97774905042366</v>
      </c>
      <c r="F63" s="210"/>
      <c r="G63" s="206"/>
      <c r="H63" s="209" t="e">
        <f aca="false">(H62*H61)+I62</f>
        <v>#VALUE!</v>
      </c>
      <c r="I63" s="211"/>
      <c r="J63" s="205"/>
      <c r="K63" s="209" t="e">
        <f aca="false">(K62*K61)+L62</f>
        <v>#VALUE!</v>
      </c>
      <c r="L63" s="211"/>
      <c r="M63" s="192"/>
      <c r="O63" s="192"/>
    </row>
    <row r="64" customFormat="false" ht="12.8" hidden="false" customHeight="false" outlineLevel="0" collapsed="false">
      <c r="A64" s="141"/>
      <c r="B64" s="141"/>
      <c r="C64" s="141"/>
      <c r="M64" s="192"/>
      <c r="O64" s="192"/>
    </row>
    <row r="65" customFormat="false" ht="12.8" hidden="false" customHeight="false" outlineLevel="0" collapsed="false">
      <c r="A65" s="192"/>
      <c r="B65" s="192"/>
      <c r="C65" s="192"/>
      <c r="G65" s="192"/>
      <c r="I65" s="192"/>
      <c r="K65" s="192"/>
      <c r="L65" s="192"/>
      <c r="M65" s="192"/>
      <c r="O65" s="192"/>
    </row>
    <row r="66" customFormat="false" ht="12.8" hidden="false" customHeight="false" outlineLevel="0" collapsed="false">
      <c r="A66" s="192"/>
      <c r="B66" s="192"/>
      <c r="C66" s="192"/>
      <c r="D66" s="192"/>
      <c r="G66" s="192"/>
      <c r="I66" s="192"/>
      <c r="K66" s="192"/>
      <c r="L66" s="192"/>
      <c r="M66" s="192"/>
      <c r="O66" s="192"/>
    </row>
    <row r="67" customFormat="false" ht="12.8" hidden="false" customHeight="false" outlineLevel="0" collapsed="false">
      <c r="A67" s="192"/>
      <c r="B67" s="192"/>
      <c r="C67" s="192"/>
      <c r="D67" s="192"/>
      <c r="E67" s="192"/>
      <c r="G67" s="192"/>
      <c r="I67" s="192"/>
      <c r="J67" s="192"/>
      <c r="K67" s="192"/>
      <c r="L67" s="192"/>
      <c r="M67" s="192"/>
      <c r="N67" s="192"/>
      <c r="O67" s="192"/>
    </row>
    <row r="68" customFormat="false" ht="12.8" hidden="false" customHeight="false" outlineLevel="0" collapsed="false">
      <c r="A68" s="192"/>
      <c r="B68" s="192"/>
      <c r="C68" s="192"/>
      <c r="D68" s="192"/>
      <c r="E68" s="192"/>
      <c r="G68" s="192"/>
      <c r="I68" s="192"/>
      <c r="J68" s="192"/>
      <c r="K68" s="192"/>
      <c r="L68" s="192"/>
      <c r="M68" s="192"/>
      <c r="N68" s="192"/>
      <c r="O68" s="192"/>
    </row>
    <row r="69" customFormat="false" ht="12.8" hidden="false" customHeight="false" outlineLevel="0" collapsed="false">
      <c r="A69" s="192"/>
      <c r="B69" s="192"/>
      <c r="C69" s="192"/>
      <c r="D69" s="192"/>
      <c r="I69" s="192"/>
      <c r="L69" s="192"/>
      <c r="M69" s="192"/>
    </row>
    <row r="70" customFormat="false" ht="12.8" hidden="false" customHeight="false" outlineLevel="0" collapsed="false">
      <c r="A70" s="192"/>
      <c r="B70" s="192"/>
      <c r="C70" s="192"/>
      <c r="D70" s="192"/>
      <c r="E70" s="192"/>
      <c r="G70" s="192"/>
      <c r="I70" s="192"/>
      <c r="J70" s="192"/>
      <c r="K70" s="192"/>
      <c r="L70" s="192"/>
      <c r="M70" s="192"/>
      <c r="N70" s="192"/>
      <c r="O70" s="192"/>
    </row>
    <row r="71" customFormat="false" ht="12.8" hidden="false" customHeight="false" outlineLevel="0" collapsed="false">
      <c r="A71" s="192"/>
      <c r="B71" s="192"/>
      <c r="C71" s="192"/>
      <c r="D71" s="192"/>
      <c r="E71" s="192"/>
      <c r="G71" s="192"/>
      <c r="I71" s="192"/>
      <c r="J71" s="192"/>
      <c r="K71" s="192"/>
      <c r="L71" s="192"/>
      <c r="M71" s="192"/>
      <c r="N71" s="192"/>
      <c r="O71" s="192"/>
    </row>
    <row r="72" customFormat="false" ht="12.8" hidden="false" customHeight="false" outlineLevel="0" collapsed="false">
      <c r="A72" s="192"/>
      <c r="B72" s="192"/>
      <c r="C72" s="192"/>
      <c r="D72" s="192"/>
      <c r="G72" s="192"/>
      <c r="I72" s="192"/>
      <c r="K72" s="192"/>
      <c r="L72" s="192"/>
      <c r="M72" s="192"/>
      <c r="O72" s="192"/>
    </row>
    <row r="73" customFormat="false" ht="12.8" hidden="false" customHeight="false" outlineLevel="0" collapsed="false">
      <c r="A73" s="192"/>
      <c r="B73" s="192"/>
      <c r="C73" s="192"/>
      <c r="D73" s="192"/>
      <c r="E73" s="192"/>
      <c r="G73" s="192"/>
      <c r="I73" s="192"/>
      <c r="J73" s="192"/>
      <c r="K73" s="192"/>
      <c r="L73" s="192"/>
      <c r="M73" s="192"/>
      <c r="N73" s="192"/>
      <c r="O73" s="192"/>
    </row>
    <row r="74" customFormat="false" ht="12.8" hidden="false" customHeight="false" outlineLevel="0" collapsed="false">
      <c r="A74" s="192"/>
      <c r="B74" s="192"/>
      <c r="C74" s="192"/>
      <c r="D74" s="192"/>
      <c r="E74" s="192"/>
      <c r="G74" s="192"/>
      <c r="I74" s="192"/>
      <c r="J74" s="192"/>
      <c r="K74" s="192"/>
      <c r="L74" s="192"/>
      <c r="M74" s="192"/>
      <c r="N74" s="192"/>
      <c r="O74" s="192"/>
    </row>
    <row r="75" customFormat="false" ht="12.8" hidden="false" customHeight="false" outlineLevel="0" collapsed="false">
      <c r="A75" s="192"/>
      <c r="B75" s="192"/>
      <c r="C75" s="192"/>
      <c r="D75" s="192"/>
      <c r="E75" s="192"/>
      <c r="G75" s="192"/>
      <c r="I75" s="192"/>
      <c r="J75" s="192"/>
      <c r="K75" s="192"/>
      <c r="L75" s="192"/>
      <c r="M75" s="192"/>
      <c r="N75" s="192"/>
      <c r="O75" s="192"/>
    </row>
    <row r="76" customFormat="false" ht="12.8" hidden="false" customHeight="false" outlineLevel="0" collapsed="false">
      <c r="A76" s="192"/>
      <c r="B76" s="192"/>
      <c r="C76" s="192"/>
      <c r="D76" s="192"/>
      <c r="I76" s="192"/>
      <c r="L76" s="192"/>
      <c r="M76" s="192"/>
    </row>
    <row r="77" customFormat="false" ht="12.8" hidden="false" customHeight="false" outlineLevel="0" collapsed="false">
      <c r="A77" s="192"/>
      <c r="B77" s="192"/>
      <c r="C77" s="192"/>
      <c r="D77" s="192"/>
      <c r="G77" s="192"/>
      <c r="I77" s="192"/>
      <c r="J77" s="192"/>
      <c r="K77" s="192"/>
      <c r="L77" s="192"/>
      <c r="M77" s="192"/>
      <c r="N77" s="192"/>
      <c r="O77" s="192"/>
    </row>
    <row r="78" customFormat="false" ht="12.8" hidden="false" customHeight="false" outlineLevel="0" collapsed="false">
      <c r="A78" s="192"/>
      <c r="B78" s="192"/>
      <c r="C78" s="192"/>
      <c r="D78" s="192"/>
      <c r="G78" s="192"/>
      <c r="I78" s="192"/>
      <c r="K78" s="192"/>
      <c r="L78" s="192"/>
      <c r="M78" s="192"/>
      <c r="O78" s="192"/>
    </row>
  </sheetData>
  <mergeCells count="4">
    <mergeCell ref="H53:L53"/>
    <mergeCell ref="E54:F54"/>
    <mergeCell ref="H54:I54"/>
    <mergeCell ref="K54:L54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15.62"/>
    <col collapsed="false" customWidth="true" hidden="false" outlineLevel="0" max="5" min="3" style="0" width="12.84"/>
  </cols>
  <sheetData>
    <row r="1" customFormat="false" ht="12.8" hidden="false" customHeight="false" outlineLevel="0" collapsed="false">
      <c r="A1" s="186" t="s">
        <v>123</v>
      </c>
      <c r="B1" s="186" t="s">
        <v>124</v>
      </c>
      <c r="C1" s="186" t="s">
        <v>125</v>
      </c>
      <c r="D1" s="186" t="s">
        <v>126</v>
      </c>
      <c r="E1" s="186" t="s">
        <v>127</v>
      </c>
      <c r="F1" s="186" t="s">
        <v>128</v>
      </c>
      <c r="G1" s="186" t="s">
        <v>129</v>
      </c>
    </row>
    <row r="2" customFormat="false" ht="12.8" hidden="false" customHeight="false" outlineLevel="0" collapsed="false">
      <c r="A2" s="188" t="s">
        <v>130</v>
      </c>
      <c r="B2" s="189" t="n">
        <v>18.9</v>
      </c>
      <c r="C2" s="189" t="n">
        <f aca="false">((B2*1000)/350)</f>
        <v>54</v>
      </c>
      <c r="D2" s="189" t="n">
        <f aca="false">((B2*1000)/350)/1000</f>
        <v>0.054</v>
      </c>
      <c r="E2" s="189" t="n">
        <f aca="false">D2*100</f>
        <v>5.4</v>
      </c>
      <c r="F2" s="189" t="n">
        <f aca="false">D2*1000</f>
        <v>54</v>
      </c>
      <c r="G2" s="189" t="n">
        <f aca="false">D2*2000</f>
        <v>108</v>
      </c>
    </row>
    <row r="3" customFormat="false" ht="12.8" hidden="false" customHeight="false" outlineLevel="0" collapsed="false">
      <c r="A3" s="188" t="s">
        <v>131</v>
      </c>
      <c r="B3" s="189" t="n">
        <v>522.8</v>
      </c>
      <c r="C3" s="189" t="n">
        <f aca="false">((B3*1000)/350)</f>
        <v>1493.71428571429</v>
      </c>
      <c r="D3" s="189" t="n">
        <f aca="false">((B3*1000)/350)/1000</f>
        <v>1.49371428571429</v>
      </c>
      <c r="E3" s="189" t="n">
        <f aca="false">D3*100</f>
        <v>149.371428571429</v>
      </c>
      <c r="F3" s="189" t="n">
        <f aca="false">D3*1000</f>
        <v>1493.71428571429</v>
      </c>
      <c r="G3" s="189" t="n">
        <f aca="false">D3*2000</f>
        <v>2987.42857142857</v>
      </c>
    </row>
    <row r="4" customFormat="false" ht="12.8" hidden="false" customHeight="false" outlineLevel="0" collapsed="false">
      <c r="A4" s="188" t="s">
        <v>132</v>
      </c>
      <c r="B4" s="189" t="n">
        <v>0.42</v>
      </c>
      <c r="C4" s="189" t="n">
        <f aca="false">((B4*1000)/350)</f>
        <v>1.2</v>
      </c>
      <c r="D4" s="189" t="n">
        <f aca="false">((B4*1000)/350)/1000</f>
        <v>0.0012</v>
      </c>
      <c r="E4" s="189" t="n">
        <f aca="false">D4*100</f>
        <v>0.12</v>
      </c>
      <c r="F4" s="189" t="n">
        <f aca="false">D4*1000</f>
        <v>1.2</v>
      </c>
      <c r="G4" s="189" t="n">
        <f aca="false">D4*2000</f>
        <v>2.4</v>
      </c>
    </row>
    <row r="5" customFormat="false" ht="12.8" hidden="false" customHeight="false" outlineLevel="0" collapsed="false">
      <c r="A5" s="188" t="s">
        <v>133</v>
      </c>
      <c r="B5" s="189" t="n">
        <v>10.5</v>
      </c>
      <c r="C5" s="189" t="n">
        <f aca="false">((B5*1000)/350)</f>
        <v>30</v>
      </c>
      <c r="D5" s="189" t="n">
        <f aca="false">((B5*1000)/350)/1000</f>
        <v>0.03</v>
      </c>
      <c r="E5" s="189" t="n">
        <f aca="false">D5*100</f>
        <v>3</v>
      </c>
      <c r="F5" s="189" t="n">
        <f aca="false">D5*1000</f>
        <v>30</v>
      </c>
      <c r="G5" s="189" t="n">
        <f aca="false">D5*2000</f>
        <v>60</v>
      </c>
    </row>
    <row r="6" customFormat="false" ht="12.8" hidden="false" customHeight="false" outlineLevel="0" collapsed="false">
      <c r="A6" s="188" t="s">
        <v>134</v>
      </c>
      <c r="B6" s="189" t="n">
        <v>0.0105</v>
      </c>
      <c r="C6" s="189" t="n">
        <f aca="false">((B6*1000)/350)</f>
        <v>0.03</v>
      </c>
      <c r="D6" s="189" t="n">
        <f aca="false">((B6*1000)/350)/1000</f>
        <v>3E-005</v>
      </c>
      <c r="E6" s="189" t="n">
        <f aca="false">D6*100</f>
        <v>0.003</v>
      </c>
      <c r="F6" s="189" t="n">
        <f aca="false">D6*1000</f>
        <v>0.03</v>
      </c>
      <c r="G6" s="189" t="n">
        <f aca="false">D6*2000</f>
        <v>0.06</v>
      </c>
    </row>
    <row r="7" customFormat="false" ht="12.8" hidden="false" customHeight="false" outlineLevel="0" collapsed="false">
      <c r="A7" s="188" t="s">
        <v>135</v>
      </c>
      <c r="B7" s="189" t="n">
        <v>0.21</v>
      </c>
      <c r="C7" s="189" t="n">
        <f aca="false">((B7*1000)/350)</f>
        <v>0.6</v>
      </c>
      <c r="D7" s="189" t="n">
        <f aca="false">((B7*1000)/350)/1000</f>
        <v>0.0006</v>
      </c>
      <c r="E7" s="189" t="n">
        <f aca="false">D7*100</f>
        <v>0.06</v>
      </c>
      <c r="F7" s="189" t="n">
        <f aca="false">D7*1000</f>
        <v>0.6</v>
      </c>
      <c r="G7" s="189" t="n">
        <f aca="false">D7*2000</f>
        <v>1.2</v>
      </c>
    </row>
    <row r="8" customFormat="false" ht="12.8" hidden="false" customHeight="false" outlineLevel="0" collapsed="false">
      <c r="A8" s="191" t="s">
        <v>136</v>
      </c>
      <c r="B8" s="190" t="n">
        <v>9.23</v>
      </c>
      <c r="C8" s="190" t="n">
        <f aca="false">((B8*1000)/350)</f>
        <v>26.3714285714286</v>
      </c>
      <c r="D8" s="190" t="n">
        <f aca="false">((B8*1000)/350)/1000</f>
        <v>0.0263714285714286</v>
      </c>
      <c r="E8" s="190" t="n">
        <f aca="false">D8*100</f>
        <v>2.63714285714286</v>
      </c>
      <c r="F8" s="190" t="n">
        <f aca="false">D8*1000</f>
        <v>26.3714285714286</v>
      </c>
      <c r="G8" s="190" t="n">
        <f aca="false">D8*2000</f>
        <v>52.7428571428571</v>
      </c>
    </row>
    <row r="11" customFormat="false" ht="12.8" hidden="false" customHeight="false" outlineLevel="0" collapsed="false">
      <c r="A11" s="186" t="s">
        <v>137</v>
      </c>
      <c r="B11" s="186" t="s">
        <v>138</v>
      </c>
      <c r="C11" s="186"/>
      <c r="D11" s="186"/>
      <c r="E11" s="186"/>
    </row>
    <row r="12" customFormat="false" ht="12.8" hidden="false" customHeight="false" outlineLevel="0" collapsed="false">
      <c r="A12" s="186" t="n">
        <v>500</v>
      </c>
      <c r="B12" s="186" t="s">
        <v>139</v>
      </c>
      <c r="C12" s="186" t="s">
        <v>140</v>
      </c>
      <c r="D12" s="186" t="s">
        <v>141</v>
      </c>
      <c r="E12" s="186" t="s">
        <v>142</v>
      </c>
    </row>
    <row r="13" customFormat="false" ht="12.8" hidden="false" customHeight="false" outlineLevel="0" collapsed="false">
      <c r="A13" s="193" t="s">
        <v>130</v>
      </c>
      <c r="B13" s="212" t="n">
        <f aca="false">D2*($A$12/1000)</f>
        <v>0.027</v>
      </c>
      <c r="C13" s="212" t="n">
        <f aca="false">(E2*$A$12)/1000</f>
        <v>2.7</v>
      </c>
      <c r="D13" s="212" t="n">
        <f aca="false">(F2*$A$12)/1000</f>
        <v>27</v>
      </c>
      <c r="E13" s="212" t="n">
        <f aca="false">(G2*$A$12)/1000</f>
        <v>54</v>
      </c>
    </row>
    <row r="14" customFormat="false" ht="12.8" hidden="false" customHeight="false" outlineLevel="0" collapsed="false">
      <c r="A14" s="188" t="s">
        <v>131</v>
      </c>
      <c r="B14" s="213" t="n">
        <f aca="false">D3*($A$12/1000)</f>
        <v>0.746857142857143</v>
      </c>
      <c r="C14" s="213" t="n">
        <f aca="false">(E3*$A$12)/1000</f>
        <v>74.6857142857143</v>
      </c>
      <c r="D14" s="213" t="n">
        <f aca="false">(F3*$A$12)/1000</f>
        <v>746.857142857143</v>
      </c>
      <c r="E14" s="213" t="n">
        <f aca="false">(G3*$A$12)/1000</f>
        <v>1493.71428571429</v>
      </c>
    </row>
    <row r="15" customFormat="false" ht="12.8" hidden="false" customHeight="false" outlineLevel="0" collapsed="false">
      <c r="A15" s="188" t="s">
        <v>132</v>
      </c>
      <c r="B15" s="213" t="n">
        <f aca="false">D4*($A$12/1000)</f>
        <v>0.0006</v>
      </c>
      <c r="C15" s="213" t="n">
        <f aca="false">(E4*$A$12)/1000</f>
        <v>0.06</v>
      </c>
      <c r="D15" s="213" t="n">
        <f aca="false">(F4*$A$12)/1000</f>
        <v>0.6</v>
      </c>
      <c r="E15" s="213" t="n">
        <f aca="false">(G4*$A$12)/1000</f>
        <v>1.2</v>
      </c>
    </row>
    <row r="16" customFormat="false" ht="12.8" hidden="false" customHeight="false" outlineLevel="0" collapsed="false">
      <c r="A16" s="188" t="s">
        <v>133</v>
      </c>
      <c r="B16" s="213" t="n">
        <f aca="false">D5*($A$12/1000)</f>
        <v>0.015</v>
      </c>
      <c r="C16" s="213" t="n">
        <f aca="false">(E5*$A$12)/1000</f>
        <v>1.5</v>
      </c>
      <c r="D16" s="213" t="n">
        <f aca="false">(F5*$A$12)/1000</f>
        <v>15</v>
      </c>
      <c r="E16" s="213" t="n">
        <f aca="false">(G5*$A$12)/1000</f>
        <v>30</v>
      </c>
    </row>
    <row r="17" customFormat="false" ht="12.8" hidden="false" customHeight="false" outlineLevel="0" collapsed="false">
      <c r="A17" s="188" t="s">
        <v>134</v>
      </c>
      <c r="B17" s="213" t="n">
        <f aca="false">D6*($A$12/1000)</f>
        <v>1.5E-005</v>
      </c>
      <c r="C17" s="213" t="n">
        <f aca="false">(E6*$A$12)/1000</f>
        <v>0.0015</v>
      </c>
      <c r="D17" s="213" t="n">
        <f aca="false">(F6*$A$12)/1000</f>
        <v>0.015</v>
      </c>
      <c r="E17" s="213" t="n">
        <f aca="false">(G6*$A$12)/1000</f>
        <v>0.03</v>
      </c>
    </row>
    <row r="18" customFormat="false" ht="12.8" hidden="false" customHeight="false" outlineLevel="0" collapsed="false">
      <c r="A18" s="188" t="s">
        <v>135</v>
      </c>
      <c r="B18" s="213" t="n">
        <f aca="false">D7*($A$12/1000)</f>
        <v>0.0003</v>
      </c>
      <c r="C18" s="213" t="n">
        <f aca="false">(E7*$A$12)/1000</f>
        <v>0.03</v>
      </c>
      <c r="D18" s="213" t="n">
        <f aca="false">(F7*$A$12)/1000</f>
        <v>0.3</v>
      </c>
      <c r="E18" s="213" t="n">
        <f aca="false">(G7*$A$12)/1000</f>
        <v>0.6</v>
      </c>
    </row>
    <row r="19" customFormat="false" ht="12.8" hidden="false" customHeight="false" outlineLevel="0" collapsed="false">
      <c r="A19" s="188" t="s">
        <v>136</v>
      </c>
      <c r="B19" s="213" t="n">
        <f aca="false">D8*($A$12/1000)</f>
        <v>0.0131857142857143</v>
      </c>
      <c r="C19" s="213" t="n">
        <f aca="false">(E8*$A$12)/1000</f>
        <v>1.31857142857143</v>
      </c>
      <c r="D19" s="213" t="n">
        <f aca="false">(F8*$A$12)/1000</f>
        <v>13.1857142857143</v>
      </c>
      <c r="E19" s="213" t="n">
        <f aca="false">(G8*$A$12)/1000</f>
        <v>26.3714285714286</v>
      </c>
    </row>
    <row r="20" customFormat="false" ht="12.8" hidden="false" customHeight="false" outlineLevel="0" collapsed="false">
      <c r="A20" s="2" t="s">
        <v>137</v>
      </c>
      <c r="B20" s="2" t="n">
        <f aca="false">C20*100</f>
        <v>500</v>
      </c>
      <c r="C20" s="2" t="n">
        <f aca="false">D20*10</f>
        <v>5</v>
      </c>
      <c r="D20" s="2" t="n">
        <f aca="false">1*(A12/1000)</f>
        <v>0.5</v>
      </c>
      <c r="E20" s="2" t="n">
        <f aca="false">D20/2</f>
        <v>0.25</v>
      </c>
    </row>
    <row r="21" customFormat="false" ht="12.8" hidden="false" customHeight="false" outlineLevel="0" collapsed="false">
      <c r="B21" s="192"/>
      <c r="C21" s="192"/>
      <c r="D21" s="192"/>
      <c r="E21" s="192"/>
    </row>
    <row r="23" customFormat="false" ht="12.8" hidden="false" customHeight="false" outlineLevel="0" collapsed="false">
      <c r="A23" s="186" t="s">
        <v>137</v>
      </c>
      <c r="B23" s="186" t="s">
        <v>138</v>
      </c>
      <c r="C23" s="186"/>
      <c r="D23" s="186"/>
      <c r="E23" s="186"/>
    </row>
    <row r="24" customFormat="false" ht="12.8" hidden="false" customHeight="false" outlineLevel="0" collapsed="false">
      <c r="A24" s="186" t="n">
        <v>100</v>
      </c>
      <c r="B24" s="186" t="s">
        <v>139</v>
      </c>
      <c r="C24" s="186" t="s">
        <v>140</v>
      </c>
      <c r="D24" s="186" t="s">
        <v>141</v>
      </c>
      <c r="E24" s="186" t="s">
        <v>142</v>
      </c>
    </row>
    <row r="25" customFormat="false" ht="12.8" hidden="false" customHeight="false" outlineLevel="0" collapsed="false">
      <c r="A25" s="193" t="s">
        <v>130</v>
      </c>
      <c r="B25" s="212" t="n">
        <f aca="false">D2*($A$24/1000)</f>
        <v>0.0054</v>
      </c>
      <c r="C25" s="212" t="n">
        <f aca="false">(E2*$A$24)/1000</f>
        <v>0.54</v>
      </c>
      <c r="D25" s="212" t="n">
        <f aca="false">(F2*$A$24)/1000</f>
        <v>5.4</v>
      </c>
      <c r="E25" s="212" t="n">
        <f aca="false">(G2*$A$24)/1000</f>
        <v>10.8</v>
      </c>
    </row>
    <row r="26" customFormat="false" ht="12.8" hidden="false" customHeight="false" outlineLevel="0" collapsed="false">
      <c r="A26" s="188" t="s">
        <v>131</v>
      </c>
      <c r="B26" s="213" t="n">
        <f aca="false">D3*($A$24/1000)</f>
        <v>0.149371428571429</v>
      </c>
      <c r="C26" s="213" t="n">
        <f aca="false">(E3*$A$24)/1000</f>
        <v>14.9371428571429</v>
      </c>
      <c r="D26" s="213" t="n">
        <f aca="false">(F3*$A$24)/1000</f>
        <v>149.371428571429</v>
      </c>
      <c r="E26" s="213" t="n">
        <f aca="false">(G3*$A$24)/1000</f>
        <v>298.742857142857</v>
      </c>
    </row>
    <row r="27" customFormat="false" ht="12.8" hidden="false" customHeight="false" outlineLevel="0" collapsed="false">
      <c r="A27" s="188" t="s">
        <v>132</v>
      </c>
      <c r="B27" s="213" t="n">
        <f aca="false">D4*($A$24/1000)</f>
        <v>0.00012</v>
      </c>
      <c r="C27" s="213" t="n">
        <f aca="false">(E4*$A$24)/1000</f>
        <v>0.012</v>
      </c>
      <c r="D27" s="213" t="n">
        <f aca="false">(F4*$A$24)/1000</f>
        <v>0.12</v>
      </c>
      <c r="E27" s="213" t="n">
        <f aca="false">(G4*$A$24)/1000</f>
        <v>0.24</v>
      </c>
    </row>
    <row r="28" customFormat="false" ht="12.8" hidden="false" customHeight="false" outlineLevel="0" collapsed="false">
      <c r="A28" s="188" t="s">
        <v>133</v>
      </c>
      <c r="B28" s="213" t="n">
        <f aca="false">D5*($A$24/1000)</f>
        <v>0.003</v>
      </c>
      <c r="C28" s="213" t="n">
        <f aca="false">(E5*$A$24)/1000</f>
        <v>0.3</v>
      </c>
      <c r="D28" s="213" t="n">
        <f aca="false">(F5*$A$24)/1000</f>
        <v>3</v>
      </c>
      <c r="E28" s="213" t="n">
        <f aca="false">(G5*$A$24)/1000</f>
        <v>6</v>
      </c>
    </row>
    <row r="29" customFormat="false" ht="12.8" hidden="false" customHeight="false" outlineLevel="0" collapsed="false">
      <c r="A29" s="188" t="s">
        <v>134</v>
      </c>
      <c r="B29" s="213" t="n">
        <f aca="false">D6*($A$24/1000)</f>
        <v>3E-006</v>
      </c>
      <c r="C29" s="213" t="n">
        <f aca="false">(E6*$A$24)/1000</f>
        <v>0.0003</v>
      </c>
      <c r="D29" s="213" t="n">
        <f aca="false">(F6*$A$24)/1000</f>
        <v>0.003</v>
      </c>
      <c r="E29" s="213" t="n">
        <f aca="false">(G6*$A$24)/1000</f>
        <v>0.006</v>
      </c>
    </row>
    <row r="30" customFormat="false" ht="12.8" hidden="false" customHeight="false" outlineLevel="0" collapsed="false">
      <c r="A30" s="188" t="s">
        <v>135</v>
      </c>
      <c r="B30" s="213" t="n">
        <f aca="false">D7*($A$24/1000)</f>
        <v>6E-005</v>
      </c>
      <c r="C30" s="213" t="n">
        <f aca="false">(E7*$A$24)/1000</f>
        <v>0.006</v>
      </c>
      <c r="D30" s="213" t="n">
        <f aca="false">(F7*$A$24)/1000</f>
        <v>0.06</v>
      </c>
      <c r="E30" s="213" t="n">
        <f aca="false">(G7*$A$24)/1000</f>
        <v>0.12</v>
      </c>
    </row>
    <row r="31" customFormat="false" ht="12.8" hidden="false" customHeight="false" outlineLevel="0" collapsed="false">
      <c r="A31" s="188" t="s">
        <v>136</v>
      </c>
      <c r="B31" s="214" t="n">
        <f aca="false">D8*($A$24/1000)</f>
        <v>0.00263714285714286</v>
      </c>
      <c r="C31" s="214" t="n">
        <f aca="false">(E8*$A$24)/1000</f>
        <v>0.263714285714286</v>
      </c>
      <c r="D31" s="214" t="n">
        <f aca="false">(F8*$A$24)/1000</f>
        <v>2.63714285714286</v>
      </c>
      <c r="E31" s="214" t="n">
        <f aca="false">(G8*$A$24)/1000</f>
        <v>5.27428571428571</v>
      </c>
    </row>
    <row r="32" customFormat="false" ht="12.8" hidden="false" customHeight="false" outlineLevel="0" collapsed="false">
      <c r="A32" s="2" t="s">
        <v>137</v>
      </c>
      <c r="B32" s="2" t="n">
        <f aca="false">C32*100</f>
        <v>100</v>
      </c>
      <c r="C32" s="2" t="n">
        <f aca="false">D32*10</f>
        <v>1</v>
      </c>
      <c r="D32" s="2" t="n">
        <f aca="false">1*(A24/1000)</f>
        <v>0.1</v>
      </c>
      <c r="E32" s="2" t="n">
        <f aca="false">D32/2</f>
        <v>0.05</v>
      </c>
    </row>
    <row r="35" customFormat="false" ht="12.8" hidden="false" customHeight="false" outlineLevel="0" collapsed="false">
      <c r="A35" s="186" t="s">
        <v>137</v>
      </c>
      <c r="B35" s="186" t="s">
        <v>138</v>
      </c>
      <c r="C35" s="186"/>
      <c r="D35" s="186"/>
      <c r="E35" s="186"/>
    </row>
    <row r="36" customFormat="false" ht="12.8" hidden="false" customHeight="false" outlineLevel="0" collapsed="false">
      <c r="A36" s="186" t="n">
        <v>2000</v>
      </c>
      <c r="B36" s="186" t="s">
        <v>139</v>
      </c>
      <c r="C36" s="186" t="s">
        <v>140</v>
      </c>
      <c r="D36" s="186" t="s">
        <v>141</v>
      </c>
      <c r="E36" s="186" t="s">
        <v>142</v>
      </c>
    </row>
    <row r="37" customFormat="false" ht="12.8" hidden="false" customHeight="false" outlineLevel="0" collapsed="false">
      <c r="A37" s="193" t="s">
        <v>130</v>
      </c>
      <c r="B37" s="212" t="n">
        <f aca="false">D2*($A$36/1000)</f>
        <v>0.108</v>
      </c>
      <c r="C37" s="212" t="n">
        <f aca="false">(E2*$A$36)/1000</f>
        <v>10.8</v>
      </c>
      <c r="D37" s="212" t="n">
        <f aca="false">(F2*$A$36)/1000</f>
        <v>108</v>
      </c>
      <c r="E37" s="212" t="n">
        <f aca="false">(G2*$A$36)/1000</f>
        <v>216</v>
      </c>
    </row>
    <row r="38" customFormat="false" ht="12.8" hidden="false" customHeight="false" outlineLevel="0" collapsed="false">
      <c r="A38" s="188" t="s">
        <v>131</v>
      </c>
      <c r="B38" s="213" t="n">
        <f aca="false">D3*($A$36/1000)</f>
        <v>2.98742857142857</v>
      </c>
      <c r="C38" s="213" t="n">
        <f aca="false">(E3*$A$36)/1000</f>
        <v>298.742857142857</v>
      </c>
      <c r="D38" s="213" t="n">
        <f aca="false">(F3*$A$36)/1000</f>
        <v>2987.42857142857</v>
      </c>
      <c r="E38" s="213" t="n">
        <f aca="false">(G3*$A$36)/1000</f>
        <v>5974.85714285714</v>
      </c>
    </row>
    <row r="39" customFormat="false" ht="12.8" hidden="false" customHeight="false" outlineLevel="0" collapsed="false">
      <c r="A39" s="188" t="s">
        <v>132</v>
      </c>
      <c r="B39" s="213" t="n">
        <f aca="false">D4*($A$36/1000)</f>
        <v>0.0024</v>
      </c>
      <c r="C39" s="213" t="n">
        <f aca="false">(E4*$A$36)/1000</f>
        <v>0.24</v>
      </c>
      <c r="D39" s="213" t="n">
        <f aca="false">(F4*$A$36)/1000</f>
        <v>2.4</v>
      </c>
      <c r="E39" s="213" t="n">
        <f aca="false">(G4*$A$36)/1000</f>
        <v>4.8</v>
      </c>
    </row>
    <row r="40" customFormat="false" ht="12.8" hidden="false" customHeight="false" outlineLevel="0" collapsed="false">
      <c r="A40" s="188" t="s">
        <v>133</v>
      </c>
      <c r="B40" s="213" t="n">
        <f aca="false">D5*($A$36/1000)</f>
        <v>0.06</v>
      </c>
      <c r="C40" s="213" t="n">
        <f aca="false">(E5*$A$36)/1000</f>
        <v>6</v>
      </c>
      <c r="D40" s="213" t="n">
        <f aca="false">(F5*$A$36)/1000</f>
        <v>60</v>
      </c>
      <c r="E40" s="213" t="n">
        <f aca="false">(G5*$A$36)/1000</f>
        <v>120</v>
      </c>
    </row>
    <row r="41" customFormat="false" ht="12.8" hidden="false" customHeight="false" outlineLevel="0" collapsed="false">
      <c r="A41" s="188" t="s">
        <v>134</v>
      </c>
      <c r="B41" s="213" t="n">
        <f aca="false">D6*($A$36/1000)</f>
        <v>6E-005</v>
      </c>
      <c r="C41" s="213" t="n">
        <f aca="false">(E6*$A$36)/1000</f>
        <v>0.006</v>
      </c>
      <c r="D41" s="213" t="n">
        <f aca="false">(F6*$A$36)/1000</f>
        <v>0.06</v>
      </c>
      <c r="E41" s="213" t="n">
        <f aca="false">(G6*$A$36)/1000</f>
        <v>0.12</v>
      </c>
    </row>
    <row r="42" customFormat="false" ht="12.8" hidden="false" customHeight="false" outlineLevel="0" collapsed="false">
      <c r="A42" s="188" t="s">
        <v>135</v>
      </c>
      <c r="B42" s="213" t="n">
        <f aca="false">D7*($A$36/1000)</f>
        <v>0.0012</v>
      </c>
      <c r="C42" s="213" t="n">
        <f aca="false">(E7*$A$36)/1000</f>
        <v>0.12</v>
      </c>
      <c r="D42" s="213" t="n">
        <f aca="false">(F7*$A$36)/1000</f>
        <v>1.2</v>
      </c>
      <c r="E42" s="213" t="n">
        <f aca="false">(G7*$A$36)/1000</f>
        <v>2.4</v>
      </c>
    </row>
    <row r="43" customFormat="false" ht="12.8" hidden="false" customHeight="false" outlineLevel="0" collapsed="false">
      <c r="A43" s="188" t="s">
        <v>136</v>
      </c>
      <c r="B43" s="214" t="n">
        <f aca="false">D8*($A$36/1000)</f>
        <v>0.0527428571428571</v>
      </c>
      <c r="C43" s="214" t="n">
        <f aca="false">(E8*$A$36)/1000</f>
        <v>5.27428571428571</v>
      </c>
      <c r="D43" s="214" t="n">
        <f aca="false">(F8*$A$36)/1000</f>
        <v>52.7428571428571</v>
      </c>
      <c r="E43" s="214" t="n">
        <f aca="false">(G8*$A$36)/1000</f>
        <v>105.485714285714</v>
      </c>
    </row>
    <row r="44" customFormat="false" ht="12.8" hidden="false" customHeight="false" outlineLevel="0" collapsed="false">
      <c r="A44" s="2" t="s">
        <v>137</v>
      </c>
      <c r="B44" s="2" t="n">
        <f aca="false">C44*100</f>
        <v>2000</v>
      </c>
      <c r="C44" s="2" t="n">
        <f aca="false">D44*10</f>
        <v>20</v>
      </c>
      <c r="D44" s="2" t="n">
        <f aca="false">1*(A36/1000)</f>
        <v>2</v>
      </c>
      <c r="E44" s="2" t="n">
        <f aca="false">D44/2</f>
        <v>1</v>
      </c>
    </row>
  </sheetData>
  <mergeCells count="3">
    <mergeCell ref="B11:E11"/>
    <mergeCell ref="B23:E23"/>
    <mergeCell ref="B35:E35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312</TotalTime>
  <Application>LibreOffice/25.8.7.3$Linux_X86_64 LibreOffice_project/86b09991d16243f9209a07fafcdf2f8cdb0ad329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2026-05-15T17:11:55Z</dcterms:created>
  <dc:creator/>
  <dc:description/>
  <dc:language>en-US</dc:language>
  <cp:lastModifiedBy/>
  <dcterms:modified xsi:type="dcterms:W3CDTF">2026-05-17T23:22:57Z</dcterms:modified>
  <cp:revision>95</cp:revision>
  <dc:subject/>
  <dc:title/>
</cp:coreProperties>
</file>