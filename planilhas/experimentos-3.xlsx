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acterizacao" sheetId="1" state="visible" r:id="rId3"/>
    <sheet name="COV" sheetId="2" state="visible" r:id="rId4"/>
    <sheet name="Calibracao Bombas" sheetId="3" state="visible" r:id="rId5"/>
    <sheet name="Nutrientes" sheetId="4" state="visible" r:id="rId6"/>
    <sheet name="Alcalinidade-AGV" sheetId="5" state="visible" r:id="rId7"/>
    <sheet name="AGV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<sst xmlns="http://schemas.openxmlformats.org/spreadsheetml/2006/main" count="352" uniqueCount="170">
  <si>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</si>
  <si>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</si>
  <si>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</si>
  <si>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</si>
  <si>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</si>
  <si>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</si>
  <si>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</si>
  <si>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</si>
  <si>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</si>
  <si>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</si>
  <si>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</si>
  <si>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</si>
  <si>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</si>
  <si>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</si>
  <si>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</si>
  <si>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</si>
  <si>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</si>
  <si>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</si>
  <si>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</si>
  <si>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</si>
  <si>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</si>
  <si>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</si>
  <si>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</si>
  <si>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</si>
  <si>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</si>
  <si>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</si>
  <si>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</si>
  <si>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</si>
  <si>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</si>
  <si>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</si>
  <si>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</si>
  <si>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</si>
  <si>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</si>
  <si>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</si>
  <si>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</si>
  <si>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</si>
  <si>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</si>
  <si>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</si>
  <si>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</si>
  <si>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</si>
  <si>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</si>
  <si>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</si>
  <si>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</si>
  <si>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</si>
  <si>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</si>
  <si>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Glucose</t>
  </si>
  <si>
    <t xml:space="preserve">Diluicao</t>
  </si>
  <si>
    <t xml:space="preserve">GL – BIO</t>
  </si>
  <si>
    <t xml:space="preserve">Densidade ajustada (g/L)</t>
  </si>
  <si>
    <t xml:space="preserve">GL – PURO</t>
  </si>
  <si>
    <t xml:space="preserve">TC ajustado (g/L)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</si>
  <si>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</si>
  <si>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</si>
  <si>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</si>
  <si>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</si>
  <si>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</si>
  <si>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</si>
  <si>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</si>
  <si>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</si>
  <si>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</si>
  <si>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</si>
  <si>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</si>
  <si>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</si>
  <si>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</si>
  <si>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</si>
  <si>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</si>
  <si>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</si>
  <si>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</si>
  <si>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</si>
  <si>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</si>
  <si>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</si>
  <si>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</si>
  <si>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</si>
  <si>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</si>
  <si>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</si>
  <si>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</si>
  <si>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</si>
  <si>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</si>
  <si>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</si>
  <si>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</si>
  <si>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</si>
  <si>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</si>
  <si>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</si>
  <si>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</si>
  <si>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</si>
  <si>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</si>
  <si>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</si>
  <si>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</si>
  <si>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</si>
  <si>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</si>
  <si>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</si>
  <si>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</si>
  <si>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</si>
  <si>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</si>
  <si>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</si>
  <si>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</si>
  <si>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</si>
  <si>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</si>
  <si>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</si>
  <si>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</si>
  <si>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</si>
  <si>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</si>
  <si>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</si>
  <si>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</si>
  <si>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</si>
  <si>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</si>
  <si>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</si>
  <si>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</si>
  <si>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</si>
  <si>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</si>
  <si>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</si>
  <si>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</si>
  <si>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</si>
  <si>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</si>
  <si>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</si>
  <si>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</si>
  <si>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</si>
  <si>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</si>
  <si>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</si>
  <si>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</si>
  <si>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</si>
  <si>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</si>
  <si>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</si>
  <si>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</si>
  <si>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</si>
  <si>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</si>
  <si>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</si>
  <si>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</si>
  <si>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</si>
  <si>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</si>
  <si>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</si>
  <si>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</si>
  <si>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</si>
  <si>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</si>
  <si>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</si>
  <si>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</si>
  <si>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</si>
  <si>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</si>
  <si>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</si>
  <si>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</si>
  <si>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</si>
  <si>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</si>
  <si>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</si>
  <si>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</si>
  <si>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</si>
  <si>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</si>
  <si>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</si>
  <si>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</si>
  <si>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</si>
  <si>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</si>
  <si>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</si>
  <si>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Calculo Alcalinidade</t>
  </si>
  <si>
    <t xml:space="preserve">Material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</si>
  <si>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</si>
  <si>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</si>
  <si>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</si>
  <si>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</si>
  <si>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R D</t>
  </si>
  <si>
    <t xml:space="preserve">R1 V</t>
  </si>
  <si>
    <t xml:space="preserve">R2 V</t>
  </si>
  <si>
    <t xml:space="preserve">N acido</t>
  </si>
  <si>
    <t xml:space="preserve">pH final</t>
  </si>
  <si>
    <t xml:space="preserve">Calculo AGV</t>
  </si>
  <si>
    <t xml:space="preserve">Volume Base (mL)</t>
  </si>
  <si>
    <t xml:space="preserve">AGV (mg CH3COOH/L)</t>
  </si>
  <si>
    <t xml:space="preserve">AGV/Alcalinidade</t>
  </si>
  <si>
    <t xml:space="preserve">N base</t>
  </si>
  <si>
    <t xml:space="preserve">Calculo Alcalinidade – filtrada</t>
  </si>
  <si>
    <t xml:space="preserve">Calculo AGV – filtrada</t>
  </si>
  <si>
    <t xml:space="preserve">Calculo Alcalinidade – filtrado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</si>
</sst>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1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FFFFCC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1ACA6"/>
      <rgbColor rgb="FF729FC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A6"/>
      <rgbColor rgb="FFB3B3B3"/>
      <rgbColor rgb="FFFF99CC"/>
      <rgbColor rgb="FFB7B3CA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8E86AE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24222709"/>
        <c:axId val="23583440"/>
      </c:scatterChart>
      <c:valAx>
        <c:axId val="2422270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583440"/>
        <c:crosses val="autoZero"/>
        <c:crossBetween val="midCat"/>
      </c:valAx>
      <c:valAx>
        <c:axId val="23583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2227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47510179"/>
        <c:axId val="38817608"/>
      </c:scatterChart>
      <c:valAx>
        <c:axId val="47510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817608"/>
        <c:crosses val="autoZero"/>
        <c:crossBetween val="midCat"/>
      </c:valAx>
      <c:valAx>
        <c:axId val="388176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51017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93551862"/>
        <c:axId val="74118890"/>
      </c:scatterChart>
      <c:valAx>
        <c:axId val="93551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118890"/>
        <c:crosses val="autoZero"/>
        <c:crossBetween val="midCat"/>
      </c:valAx>
      <c:valAx>
        <c:axId val="741188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5518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88264458"/>
        <c:axId val="92602803"/>
      </c:scatterChart>
      <c:valAx>
        <c:axId val="882644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2602803"/>
        <c:crosses val="autoZero"/>
        <c:crossBetween val="midCat"/>
      </c:valAx>
      <c:valAx>
        <c:axId val="926028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2644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18936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2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3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4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5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803520</xdr:colOff>
      <xdr:row>0</xdr:row>
      <xdr:rowOff>0</xdr:rowOff>
    </xdr:from>
    <xdr:to>
      <xdr:col>12</xdr:col>
      <xdr:colOff>10440</xdr:colOff>
      <xdr:row>5</xdr:row>
      <xdr:rowOff>82080</xdr:rowOff>
    </xdr:to>
    <xdr:sp>
      <xdr:nvSpPr>
        <xdr:cNvPr id="6" name="CaixaDeTexto 2"/>
        <xdr:cNvSpPr/>
      </xdr:nvSpPr>
      <xdr:spPr>
        <a:xfrm>
          <a:off x="7935840" y="0"/>
          <a:ext cx="4083840" cy="89496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6120</xdr:colOff>
      <xdr:row>10</xdr:row>
      <xdr:rowOff>75960</xdr:rowOff>
    </xdr:from>
    <xdr:to>
      <xdr:col>12</xdr:col>
      <xdr:colOff>25920</xdr:colOff>
      <xdr:row>14</xdr:row>
      <xdr:rowOff>63720</xdr:rowOff>
    </xdr:to>
    <xdr:sp>
      <xdr:nvSpPr>
        <xdr:cNvPr id="7" name="CaixaDeTexto 1"/>
        <xdr:cNvSpPr/>
      </xdr:nvSpPr>
      <xdr:spPr>
        <a:xfrm>
          <a:off x="7951320" y="1701720"/>
          <a:ext cx="4083840" cy="63792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9360</xdr:colOff>
      <xdr:row>1</xdr:row>
      <xdr:rowOff>66960</xdr:rowOff>
    </xdr:from>
    <xdr:to>
      <xdr:col>11</xdr:col>
      <xdr:colOff>809640</xdr:colOff>
      <xdr:row>15</xdr:row>
      <xdr:rowOff>10440</xdr:rowOff>
    </xdr:to>
    <xdr:sp>
      <xdr:nvSpPr>
        <xdr:cNvPr id="8" name="CaixaDeTexto 3"/>
        <xdr:cNvSpPr/>
      </xdr:nvSpPr>
      <xdr:spPr>
        <a:xfrm>
          <a:off x="7578000" y="229680"/>
          <a:ext cx="4051440" cy="22190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Filter the sample, if necessary, to remove suspended solids that may interfere with the analysis.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Pipette 50 ml of the filtered sample into an Erlenmeyer flask.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Add 1 ml of sulfuric acid (H2SO4, 1 N)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adjust the pH back to approximately 7.0 using the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standard sodium hydroxide solution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Add 2–3 drops of phenolphthalein as an indicator.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Titrate the solution with 0.1 N NaOH until a light pink color appears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usar uma centrifuga e se não der certo usar um filtro de 45micros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3.500 rpm por 10 min, retirar o sobrenadante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 t="n">
        <v>0.680555555555556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 t="n">
        <v>0.715277777777778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O76" activeCellId="0" sqref="O76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1" min="1" style="50" width="11.53"/>
    <col collapsed="false" customWidth="true" hidden="true" outlineLevel="0" max="2" min="2" style="50" width="15.76"/>
    <col collapsed="false" customWidth="false" hidden="true" outlineLevel="0" max="5" min="3" style="50" width="11.53"/>
    <col collapsed="false" customWidth="true" hidden="tru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10</v>
      </c>
      <c r="K2" s="62" t="s">
        <v>45</v>
      </c>
      <c r="M2" s="63"/>
      <c r="N2" s="60" t="s">
        <v>46</v>
      </c>
      <c r="O2" s="64" t="n">
        <v>1</v>
      </c>
      <c r="P2" s="65" t="n">
        <v>1</v>
      </c>
    </row>
    <row r="3" customFormat="false" ht="12.8" hidden="false" customHeight="false" outlineLevel="0" collapsed="false">
      <c r="A3" s="66" t="s">
        <v>47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1068.43760252525</v>
      </c>
      <c r="K3" s="70" t="n">
        <f aca="false">INDEX($B$2:$B$100,MATCH($K$2,$A$2:$A$100,0))</f>
        <v>1540</v>
      </c>
      <c r="M3" s="63"/>
      <c r="N3" s="68" t="s">
        <v>48</v>
      </c>
      <c r="O3" s="69" t="n">
        <f aca="false">J3/$O$2</f>
        <v>1068.43760252525</v>
      </c>
      <c r="P3" s="70" t="n">
        <f aca="false">K3/$P$2</f>
        <v>1540</v>
      </c>
    </row>
    <row r="4" customFormat="false" ht="12.8" hidden="false" customHeight="false" outlineLevel="0" collapsed="false">
      <c r="A4" s="71" t="s">
        <v>49</v>
      </c>
      <c r="B4" s="71" t="n">
        <v>126000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1.7786</v>
      </c>
      <c r="K4" s="70" t="n">
        <f aca="false">INDEX($C$2:$C$100,MATCH($K$2,$A$2:$A$100,0))</f>
        <v>616</v>
      </c>
      <c r="M4" s="63"/>
      <c r="N4" s="68" t="s">
        <v>50</v>
      </c>
      <c r="O4" s="69" t="n">
        <f aca="false">J4/$O$2</f>
        <v>1.7786</v>
      </c>
      <c r="P4" s="70" t="n">
        <f aca="false">K4/$P$2</f>
        <v>616</v>
      </c>
    </row>
    <row r="5" customFormat="false" ht="12.8" hidden="false" customHeight="false" outlineLevel="0" collapsed="false">
      <c r="A5" s="71" t="s">
        <v>45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0.28176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0.28176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536.39975270356</v>
      </c>
      <c r="K6" s="70" t="n">
        <f aca="false">INDEX($E$2:$E$100,MATCH($K$2,$A$2:$A$100,0))</f>
        <v>1540</v>
      </c>
      <c r="N6" s="68" t="s">
        <v>52</v>
      </c>
      <c r="O6" s="69" t="n">
        <f aca="false">J6/$O$2</f>
        <v>536.39975270356</v>
      </c>
      <c r="P6" s="70" t="n">
        <f aca="false">K6/$P$2</f>
        <v>1540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520.806779510477</v>
      </c>
      <c r="K7" s="74" t="n">
        <f aca="false">INDEX($F$2:$F$100,MATCH($K$2,$A$2:$A$100,0))</f>
        <v>1540</v>
      </c>
      <c r="N7" s="72" t="s">
        <v>53</v>
      </c>
      <c r="O7" s="73" t="n">
        <f aca="false">J7/$O$2</f>
        <v>520.806779510477</v>
      </c>
      <c r="P7" s="74" t="n">
        <f aca="false">K7/$P$2</f>
        <v>1540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fals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-616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116.990162190907</v>
      </c>
      <c r="L16" s="72" t="n">
        <f aca="false">(O4-(J15*O5))</f>
        <v>-5.2654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116.990162190907</v>
      </c>
      <c r="L19" s="87" t="n">
        <f aca="false">K19*1000</f>
        <v>116990.162190907</v>
      </c>
      <c r="M19" s="88" t="n">
        <f aca="false">K19*O4</f>
        <v>208.078702472747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616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117.990162190907</v>
      </c>
      <c r="K21" s="96" t="s">
        <v>61</v>
      </c>
      <c r="L21" s="96" t="n">
        <f aca="false">J21*1000</f>
        <v>117990.162190907</v>
      </c>
      <c r="M21" s="96" t="n">
        <f aca="false">M19+M20</f>
        <v>824.078702472747</v>
      </c>
      <c r="N21" s="96"/>
      <c r="O21" s="97" t="n">
        <f aca="false">M21/J21</f>
        <v>6.98430010749029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1068.43760252525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0.00854772727272728</v>
      </c>
      <c r="L23" s="104" t="n">
        <f aca="false">K23*1000</f>
        <v>8.54772727272727</v>
      </c>
      <c r="M23" s="105" t="n">
        <f aca="false">K23*P3</f>
        <v>13.1635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1.00854772727273</v>
      </c>
      <c r="K24" s="108" t="s">
        <v>61</v>
      </c>
      <c r="L24" s="108" t="n">
        <f aca="false">J24*1000</f>
        <v>1008.54772727273</v>
      </c>
      <c r="M24" s="108" t="n">
        <f aca="false">M22+M23</f>
        <v>1081.60110252525</v>
      </c>
      <c r="N24" s="108"/>
      <c r="O24" s="109" t="n">
        <f aca="false">M24/J24</f>
        <v>1072.43422723293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124996.688410293</v>
      </c>
      <c r="K30" s="112" t="n">
        <f aca="false">J30+J31</f>
        <v>126536.688410293</v>
      </c>
      <c r="L30" s="112" t="n">
        <f aca="false">($O$6*K19)+($P$6*J20)</f>
        <v>64293.4940679517</v>
      </c>
      <c r="M30" s="112" t="n">
        <f aca="false">(L30/K30)*100</f>
        <v>50.8101601801695</v>
      </c>
      <c r="N30" s="112" t="n">
        <f aca="false">($O$7*K19)+($P$7*J20)</f>
        <v>62469.2696050544</v>
      </c>
      <c r="O30" s="112" t="n">
        <f aca="false">(N30/K30)*100</f>
        <v>49.3685036252087</v>
      </c>
      <c r="P30" s="113" t="n">
        <f aca="false">N30/L30</f>
        <v>0.971626608736348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1540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1068.43760252525</v>
      </c>
      <c r="K32" s="116" t="n">
        <f aca="false">J32+J33</f>
        <v>1081.60110252525</v>
      </c>
      <c r="L32" s="116" t="n">
        <f aca="false">($O$6*K23)+($P$6*J22)</f>
        <v>1544.58499879527</v>
      </c>
      <c r="M32" s="116" t="n">
        <f aca="false">(L32/K32)*100</f>
        <v>142.805420148803</v>
      </c>
      <c r="N32" s="116" t="n">
        <f aca="false">($O$7*K23)+($P$7*J22)</f>
        <v>1544.45171431304</v>
      </c>
      <c r="O32" s="116" t="n">
        <f aca="false">(N32/K32)*100</f>
        <v>142.79309726175</v>
      </c>
      <c r="P32" s="117" t="n">
        <f aca="false">N32/L32</f>
        <v>0.999913708548038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13.1635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10</v>
      </c>
      <c r="K36" s="86" t="n">
        <f aca="false">M30/$I$36</f>
        <v>5.08101601801695</v>
      </c>
      <c r="L36" s="87" t="n">
        <f aca="false">N30/K36</f>
        <v>12294.6413440821</v>
      </c>
      <c r="M36" s="87" t="n">
        <f aca="false">K36*J21</f>
        <v>599.509904060414</v>
      </c>
      <c r="N36" s="122" t="n">
        <f aca="false">L36/M36</f>
        <v>20.5078202391851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15</v>
      </c>
      <c r="K37" s="124" t="n">
        <f aca="false">M30/$I$37</f>
        <v>3.3873440120113</v>
      </c>
      <c r="L37" s="125" t="n">
        <f aca="false">N30/K37</f>
        <v>18441.9620161231</v>
      </c>
      <c r="M37" s="125" t="n">
        <f aca="false">K37*J21</f>
        <v>399.67326937361</v>
      </c>
      <c r="N37" s="126" t="n">
        <f aca="false">L37/M37</f>
        <v>46.1425955381665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14.2805420148803</v>
      </c>
      <c r="L38" s="100" t="n">
        <f aca="false">N32/K38</f>
        <v>108.150776959567</v>
      </c>
      <c r="M38" s="100" t="n">
        <f aca="false">K38*J24</f>
        <v>14.4026081933302</v>
      </c>
      <c r="N38" s="127" t="n">
        <f aca="false">L38/M38</f>
        <v>7.50911053802405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9.52036134325351</v>
      </c>
      <c r="L39" s="129" t="n">
        <f aca="false">N32/K39</f>
        <v>162.226165439351</v>
      </c>
      <c r="M39" s="129" t="n">
        <f aca="false">K39*J24</f>
        <v>9.60173879555345</v>
      </c>
      <c r="N39" s="130" t="n">
        <f aca="false">L39/M39</f>
        <v>16.8954987105541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0.683594007972836</v>
      </c>
      <c r="J51" s="148" t="n">
        <f aca="false">I51/1000</f>
        <v>0.000683594007972836</v>
      </c>
      <c r="K51" s="149" t="n">
        <f aca="false">J51*(1/K45)</f>
        <v>0.683594007972836</v>
      </c>
      <c r="N51" s="150" t="n">
        <f aca="false">K51/$O$45</f>
        <v>0.170898501993209</v>
      </c>
      <c r="O51" s="150" t="n">
        <f aca="false">N51*$M$36</f>
        <v>102.455344534017</v>
      </c>
      <c r="P51" s="150" t="n">
        <f aca="false">($M$30*$J$21)/O51</f>
        <v>58.5142636323247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6.83594007972836</v>
      </c>
      <c r="J52" s="152" t="n">
        <f aca="false">I52/1000</f>
        <v>0.00683594007972836</v>
      </c>
      <c r="K52" s="153" t="n">
        <f aca="false">J52*(1/K46)</f>
        <v>6.83594007972836</v>
      </c>
      <c r="N52" s="150" t="n">
        <f aca="false">K52/$O$46</f>
        <v>0.481404230966786</v>
      </c>
      <c r="O52" s="150" t="n">
        <f aca="false">N52*$M$36</f>
        <v>288.606604321175</v>
      </c>
      <c r="P52" s="150" t="n">
        <f aca="false">($M$30*$J$21)/O52</f>
        <v>20.7725635894753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6.83594007972836</v>
      </c>
      <c r="J53" s="154" t="n">
        <f aca="false">I53/1000</f>
        <v>0.00683594007972836</v>
      </c>
      <c r="K53" s="153" t="n">
        <f aca="false">J53*(1/K47)</f>
        <v>1.70898501993209</v>
      </c>
      <c r="N53" s="150" t="n">
        <f aca="false">K53/$O$47</f>
        <v>0.657301930743112</v>
      </c>
      <c r="O53" s="150" t="n">
        <f aca="false">N53*$M$36</f>
        <v>394.059017438528</v>
      </c>
      <c r="P53" s="150" t="n">
        <f aca="false">($M$30*$J$21)/O53</f>
        <v>15.2137085444044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1.53808651793888</v>
      </c>
      <c r="J54" s="156" t="n">
        <f aca="false">I54/1000</f>
        <v>0.00153808651793888</v>
      </c>
      <c r="K54" s="157" t="n">
        <f aca="false">J54*(1/K45)</f>
        <v>1.53808651793888</v>
      </c>
      <c r="N54" s="158" t="n">
        <f aca="false">K54/$O$45</f>
        <v>0.38452162948472</v>
      </c>
      <c r="O54" s="158" t="n">
        <f aca="false">N54*$M$37</f>
        <v>153.683016801026</v>
      </c>
      <c r="P54" s="158" t="n">
        <f aca="false">($M$30*$J$21)/O54</f>
        <v>39.0095090882165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15.3808651793888</v>
      </c>
      <c r="J55" s="159" t="n">
        <f aca="false">I55/1000</f>
        <v>0.0153808651793888</v>
      </c>
      <c r="K55" s="157" t="n">
        <f aca="false">J55*(1/K46)</f>
        <v>15.3808651793888</v>
      </c>
      <c r="N55" s="158" t="n">
        <f aca="false">K55/$O$46</f>
        <v>1.08315951967527</v>
      </c>
      <c r="O55" s="158" t="n">
        <f aca="false">N55*$M$37</f>
        <v>432.909906481763</v>
      </c>
      <c r="P55" s="158" t="n">
        <f aca="false">($M$30*$J$21)/O55</f>
        <v>13.8483757263168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15.3808651793888</v>
      </c>
      <c r="J56" s="156" t="n">
        <f aca="false">I56/1000</f>
        <v>0.0153808651793888</v>
      </c>
      <c r="K56" s="157" t="n">
        <f aca="false">J56*(1/K47)</f>
        <v>3.8452162948472</v>
      </c>
      <c r="N56" s="158" t="n">
        <f aca="false">K56/$O$47</f>
        <v>1.478929344172</v>
      </c>
      <c r="O56" s="158" t="n">
        <f aca="false">N56*$M$37</f>
        <v>591.088526157792</v>
      </c>
      <c r="P56" s="158" t="n">
        <f aca="false">($M$30*$J$21)/O56</f>
        <v>10.1424723629363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0.250303684600802</v>
      </c>
      <c r="J57" s="161" t="n">
        <f aca="false">I57/1000</f>
        <v>0.000250303684600802</v>
      </c>
      <c r="K57" s="162" t="n">
        <f aca="false">J57*(1/K45)</f>
        <v>0.250303684600802</v>
      </c>
      <c r="N57" s="163" t="n">
        <f aca="false">K57/$O$45</f>
        <v>0.0625759211502004</v>
      </c>
      <c r="O57" s="163" t="n">
        <f aca="false">N57*$M$38</f>
        <v>0.90125647466306</v>
      </c>
      <c r="P57" s="163" t="n">
        <f aca="false">($M$32*$J$24)/O57</f>
        <v>159.805877663344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2.50303684600802</v>
      </c>
      <c r="J58" s="164" t="n">
        <f aca="false">I58/1000</f>
        <v>0.00250303684600802</v>
      </c>
      <c r="K58" s="162" t="n">
        <f aca="false">J58*(1/K46)</f>
        <v>2.50303684600802</v>
      </c>
      <c r="N58" s="163" t="n">
        <f aca="false">K58/$O$46</f>
        <v>0.1762702004231</v>
      </c>
      <c r="O58" s="163" t="n">
        <f aca="false">N58*$M$38</f>
        <v>2.53875063285369</v>
      </c>
      <c r="P58" s="163" t="n">
        <f aca="false">($M$32*$J$24)/O58</f>
        <v>56.7310865704872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2.50303684600802</v>
      </c>
      <c r="J59" s="161" t="n">
        <f aca="false">I59/1000</f>
        <v>0.00250303684600802</v>
      </c>
      <c r="K59" s="162" t="n">
        <f aca="false">J59*(1/K47)</f>
        <v>0.625759211502004</v>
      </c>
      <c r="N59" s="163" t="n">
        <f aca="false">K59/$O$47</f>
        <v>0.240676619808463</v>
      </c>
      <c r="O59" s="163" t="n">
        <f aca="false">N59*$M$38</f>
        <v>3.46637105639638</v>
      </c>
      <c r="P59" s="163" t="n">
        <f aca="false">($M$32*$J$24)/O59</f>
        <v>41.5495281924695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0.563183290351804</v>
      </c>
      <c r="J60" s="166" t="n">
        <f aca="false">I60/1000</f>
        <v>0.000563183290351804</v>
      </c>
      <c r="K60" s="167" t="n">
        <f aca="false">J60*(1/K45)</f>
        <v>0.563183290351804</v>
      </c>
      <c r="N60" s="168" t="n">
        <f aca="false">K60/$O$45</f>
        <v>0.140795822587951</v>
      </c>
      <c r="O60" s="168" t="n">
        <f aca="false">N60*$M$39</f>
        <v>1.35188471199459</v>
      </c>
      <c r="P60" s="168" t="n">
        <f aca="false">($M$32*$J$24)/O60</f>
        <v>106.537251775563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5.63183290351804</v>
      </c>
      <c r="J61" s="169" t="n">
        <f aca="false">I61/1000</f>
        <v>0.00563183290351804</v>
      </c>
      <c r="K61" s="167" t="n">
        <f aca="false">J61*(1/K46)</f>
        <v>5.63183290351804</v>
      </c>
      <c r="N61" s="168" t="n">
        <f aca="false">K61/$O$46</f>
        <v>0.396607950951974</v>
      </c>
      <c r="O61" s="168" t="n">
        <f aca="false">N61*$M$39</f>
        <v>3.80812594928053</v>
      </c>
      <c r="P61" s="168" t="n">
        <f aca="false">($M$32*$J$24)/O61</f>
        <v>37.8207243803248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5.63183290351804</v>
      </c>
      <c r="J62" s="171" t="n">
        <f aca="false">I62/1000</f>
        <v>0.00563183290351804</v>
      </c>
      <c r="K62" s="172" t="n">
        <f aca="false">J62*(1/K47)</f>
        <v>1.40795822587951</v>
      </c>
      <c r="N62" s="173" t="n">
        <f aca="false">K62/$O$47</f>
        <v>0.541522394569042</v>
      </c>
      <c r="O62" s="173" t="n">
        <f aca="false">N62*$M$39</f>
        <v>5.19955658459458</v>
      </c>
      <c r="P62" s="173" t="n">
        <f aca="false">($M$32*$J$24)/O62</f>
        <v>27.6996854616463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4" t="n">
        <v>2000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94</v>
      </c>
      <c r="L69" s="75" t="s">
        <v>95</v>
      </c>
      <c r="M69" s="23" t="s">
        <v>96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5" t="s">
        <v>43</v>
      </c>
      <c r="J70" s="176" t="n">
        <f aca="false">($J$21/M36)*$I$68</f>
        <v>393.622061593219</v>
      </c>
      <c r="K70" s="92" t="n">
        <f aca="false">$L$19/$L$21</f>
        <v>0.991524717133772</v>
      </c>
      <c r="L70" s="92" t="n">
        <f aca="false">J70*K70</f>
        <v>390.286003278829</v>
      </c>
      <c r="M70" s="177" t="n">
        <f aca="false">L70*($O$3/1000)</f>
        <v>416.996241642395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5" t="s">
        <v>44</v>
      </c>
      <c r="J71" s="176"/>
      <c r="K71" s="92" t="n">
        <f aca="false">$L$20/$L$21</f>
        <v>0.00847528286622754</v>
      </c>
      <c r="L71" s="92" t="n">
        <f aca="false">J70*K71</f>
        <v>3.33605831439017</v>
      </c>
      <c r="M71" s="177" t="n">
        <f aca="false">L71*($P$3/1000)</f>
        <v>5.13752980416087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78" t="s">
        <v>43</v>
      </c>
      <c r="J72" s="125" t="n">
        <f aca="false">($J$21/M37)*$I$68</f>
        <v>590.433092389829</v>
      </c>
      <c r="K72" s="125" t="n">
        <f aca="false">$L$19/$L$21</f>
        <v>0.991524717133772</v>
      </c>
      <c r="L72" s="125" t="n">
        <f aca="false">J72*K72</f>
        <v>585.429004918243</v>
      </c>
      <c r="M72" s="126" t="n">
        <f aca="false">L72*($O$3/1000)</f>
        <v>625.494362463592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78" t="s">
        <v>44</v>
      </c>
      <c r="J73" s="125"/>
      <c r="K73" s="125" t="n">
        <f aca="false">$L$20/$L$21</f>
        <v>0.00847528286622754</v>
      </c>
      <c r="L73" s="125" t="n">
        <f aca="false">J72*K73</f>
        <v>5.00408747158526</v>
      </c>
      <c r="M73" s="126" t="n">
        <f aca="false">L73*($P$3/1000)</f>
        <v>7.7062947062413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79" t="s">
        <v>43</v>
      </c>
      <c r="J74" s="180" t="n">
        <f aca="false">($J$24/M38)*$I$68</f>
        <v>140.050706612957</v>
      </c>
      <c r="K74" s="104" t="n">
        <f aca="false">$L$22/$L$24</f>
        <v>0.991524717133773</v>
      </c>
      <c r="L74" s="104" t="n">
        <f aca="false">J74*K74</f>
        <v>138.863737258797</v>
      </c>
      <c r="M74" s="181" t="n">
        <f aca="false">L74*($O$3/1000)</f>
        <v>148.367238514486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79" t="s">
        <v>44</v>
      </c>
      <c r="J75" s="180"/>
      <c r="K75" s="104" t="n">
        <f aca="false">$L$23/$L$24</f>
        <v>0.00847528286622754</v>
      </c>
      <c r="L75" s="104" t="n">
        <f aca="false">J74*K75</f>
        <v>1.18696935415985</v>
      </c>
      <c r="M75" s="181" t="n">
        <f aca="false">L75*($P$3/1000)</f>
        <v>1.82793280540618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2" t="s">
        <v>43</v>
      </c>
      <c r="J76" s="129" t="n">
        <f aca="false">($J$24/M39)*$I$68</f>
        <v>210.076059919435</v>
      </c>
      <c r="K76" s="183" t="n">
        <f aca="false">$L$22/$L$24</f>
        <v>0.991524717133773</v>
      </c>
      <c r="L76" s="183" t="n">
        <f aca="false">J76*K76</f>
        <v>208.295605888196</v>
      </c>
      <c r="M76" s="184" t="n">
        <f aca="false">L76*($O$3/1000)</f>
        <v>222.550857771729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5" t="s">
        <v>44</v>
      </c>
      <c r="J77" s="129"/>
      <c r="K77" s="129" t="n">
        <f aca="false">$L$23/$L$24</f>
        <v>0.00847528286622754</v>
      </c>
      <c r="L77" s="129" t="n">
        <f aca="false">J76*K77</f>
        <v>1.78045403123978</v>
      </c>
      <c r="M77" s="130" t="n">
        <f aca="false">L77*($P$3/1000)</f>
        <v>2.74189920810926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97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98</v>
      </c>
      <c r="K80" s="60" t="s">
        <v>99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4" t="n">
        <v>2000</v>
      </c>
      <c r="J81" s="186" t="n">
        <v>14.2</v>
      </c>
      <c r="K81" s="150" t="n">
        <f aca="false" t="array" ref="K81:K84">INDEX($O51:$O$62,_xlfn.SEQUENCE(4,,MATCH($J$81,$O$45:$O$47,0),3))</f>
        <v>288.606604321175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432.909906481763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K83" s="163" t="n">
        <v>2.53875063285369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K84" s="173" t="n">
        <v>3.80812594928053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94</v>
      </c>
      <c r="L86" s="75" t="s">
        <v>95</v>
      </c>
      <c r="M86" s="23" t="s">
        <v>96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5" t="s">
        <v>43</v>
      </c>
      <c r="J87" s="176" t="n">
        <f aca="false">($J$21/K81)*$I$81</f>
        <v>817.65393046655</v>
      </c>
      <c r="K87" s="92" t="n">
        <f aca="false">$L$19/$L$21</f>
        <v>0.991524717133772</v>
      </c>
      <c r="L87" s="92" t="n">
        <f aca="false">J87*K87</f>
        <v>810.724082119163</v>
      </c>
      <c r="M87" s="177" t="n">
        <f aca="false">L87*($O$3/1000)</f>
        <v>866.208094608884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5" t="s">
        <v>44</v>
      </c>
      <c r="J88" s="176"/>
      <c r="K88" s="92" t="n">
        <f aca="false">$L$20/$L$21</f>
        <v>0.00847528286622754</v>
      </c>
      <c r="L88" s="92" t="n">
        <f aca="false">J87*K88</f>
        <v>6.92984834738675</v>
      </c>
      <c r="M88" s="177" t="n">
        <f aca="false">L88*($P$3/1000)</f>
        <v>10.6719664549756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78" t="s">
        <v>43</v>
      </c>
      <c r="J89" s="125" t="n">
        <f aca="false">($J$21/K82)*$I$81</f>
        <v>545.102620311033</v>
      </c>
      <c r="K89" s="125" t="n">
        <f aca="false">$L$19/$L$21</f>
        <v>0.991524717133772</v>
      </c>
      <c r="L89" s="125" t="n">
        <f aca="false">J89*K89</f>
        <v>540.482721412775</v>
      </c>
      <c r="M89" s="126" t="n">
        <f aca="false">L89*($O$3/1000)</f>
        <v>577.472063072589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78" t="s">
        <v>44</v>
      </c>
      <c r="J90" s="125"/>
      <c r="K90" s="125" t="n">
        <f aca="false">$L$20/$L$21</f>
        <v>0.00847528286622754</v>
      </c>
      <c r="L90" s="125" t="n">
        <f aca="false">J89*K90</f>
        <v>4.61989889825783</v>
      </c>
      <c r="M90" s="126" t="n">
        <f aca="false">L90*($P$3/1000)</f>
        <v>7.11464430331707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79" t="s">
        <v>43</v>
      </c>
      <c r="J91" s="180" t="n">
        <f aca="false">($J$24/K83)*$I$81</f>
        <v>794.522876111756</v>
      </c>
      <c r="K91" s="104" t="n">
        <f aca="false">$L$22/$L$24</f>
        <v>0.991524717133773</v>
      </c>
      <c r="L91" s="104" t="n">
        <f aca="false">J91*K91</f>
        <v>787.78906999302</v>
      </c>
      <c r="M91" s="181" t="n">
        <f aca="false">L91*($O$3/1000)</f>
        <v>841.703465238941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79" t="s">
        <v>44</v>
      </c>
      <c r="J92" s="180"/>
      <c r="K92" s="104" t="n">
        <f aca="false">$L$23/$L$24</f>
        <v>0.00847528286622754</v>
      </c>
      <c r="L92" s="104" t="n">
        <f aca="false">J91*K92</f>
        <v>6.7338061187358</v>
      </c>
      <c r="M92" s="181" t="n">
        <f aca="false">L92*($P$3/1000)</f>
        <v>10.3700614228531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2" t="s">
        <v>43</v>
      </c>
      <c r="J93" s="129" t="n">
        <f aca="false">($J$24/K84)*$I$81</f>
        <v>529.681917407837</v>
      </c>
      <c r="K93" s="183" t="n">
        <f aca="false">$L$22/$L$24</f>
        <v>0.991524717133773</v>
      </c>
      <c r="L93" s="183" t="n">
        <f aca="false">J93*K93</f>
        <v>525.19271332868</v>
      </c>
      <c r="M93" s="184" t="n">
        <f aca="false">L93*($O$3/1000)</f>
        <v>561.135643492627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5" t="s">
        <v>44</v>
      </c>
      <c r="J94" s="129"/>
      <c r="K94" s="129" t="n">
        <f aca="false">$L$23/$L$24</f>
        <v>0.00847528286622754</v>
      </c>
      <c r="L94" s="129" t="n">
        <f aca="false">J93*K94</f>
        <v>4.4892040791572</v>
      </c>
      <c r="M94" s="130" t="n">
        <f aca="false">L94*($P$3/1000)</f>
        <v>6.91337428190208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7"/>
      <c r="B100" s="187"/>
      <c r="C100" s="187"/>
      <c r="D100" s="187"/>
      <c r="E100" s="187"/>
      <c r="F100" s="187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61" activeCellId="0" sqref="A6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100</v>
      </c>
      <c r="B1" s="188" t="s">
        <v>101</v>
      </c>
      <c r="C1" s="188" t="s">
        <v>102</v>
      </c>
      <c r="D1" s="188" t="s">
        <v>103</v>
      </c>
      <c r="E1" s="139"/>
      <c r="F1" s="52"/>
      <c r="G1" s="139"/>
      <c r="H1" s="52"/>
      <c r="I1" s="139"/>
      <c r="J1" s="139" t="s">
        <v>104</v>
      </c>
      <c r="K1" s="52"/>
      <c r="L1" s="189" t="s">
        <v>102</v>
      </c>
      <c r="M1" s="189" t="s">
        <v>103</v>
      </c>
    </row>
    <row r="2" customFormat="false" ht="12.8" hidden="false" customHeight="false" outlineLevel="0" collapsed="false">
      <c r="A2" s="139" t="s">
        <v>105</v>
      </c>
      <c r="B2" s="190" t="n">
        <v>0.3133</v>
      </c>
      <c r="C2" s="190" t="n">
        <v>0.1</v>
      </c>
      <c r="D2" s="190" t="n">
        <v>0.3</v>
      </c>
      <c r="E2" s="139"/>
      <c r="F2" s="52"/>
      <c r="G2" s="139"/>
      <c r="H2" s="52"/>
      <c r="I2" s="139"/>
      <c r="J2" s="52"/>
      <c r="K2" s="139"/>
      <c r="L2" s="191" t="n">
        <v>1</v>
      </c>
      <c r="M2" s="191" t="n">
        <v>1.5</v>
      </c>
    </row>
    <row r="3" customFormat="false" ht="12.8" hidden="false" customHeight="false" outlineLevel="0" collapsed="false">
      <c r="A3" s="139"/>
      <c r="B3" s="192" t="n">
        <v>0.4</v>
      </c>
      <c r="C3" s="192" t="n">
        <v>0.128</v>
      </c>
      <c r="D3" s="192" t="n">
        <v>0.4</v>
      </c>
      <c r="E3" s="139"/>
      <c r="F3" s="52"/>
      <c r="G3" s="139"/>
      <c r="H3" s="52"/>
      <c r="I3" s="139"/>
      <c r="J3" s="52"/>
      <c r="K3" s="139"/>
      <c r="L3" s="191" t="n">
        <v>5</v>
      </c>
      <c r="M3" s="191" t="n">
        <v>4</v>
      </c>
    </row>
    <row r="4" customFormat="false" ht="12.8" hidden="false" customHeight="false" outlineLevel="0" collapsed="false">
      <c r="A4" s="139"/>
      <c r="B4" s="192" t="n">
        <v>0.5</v>
      </c>
      <c r="C4" s="192" t="n">
        <v>0.16</v>
      </c>
      <c r="D4" s="192" t="n">
        <v>0.45</v>
      </c>
      <c r="E4" s="139"/>
      <c r="F4" s="52"/>
      <c r="G4" s="139"/>
      <c r="H4" s="52"/>
      <c r="I4" s="139"/>
      <c r="J4" s="52"/>
      <c r="K4" s="139"/>
      <c r="L4" s="191" t="n">
        <v>10</v>
      </c>
      <c r="M4" s="191" t="n">
        <v>8.9</v>
      </c>
    </row>
    <row r="5" customFormat="false" ht="12.8" hidden="false" customHeight="false" outlineLevel="0" collapsed="false">
      <c r="A5" s="139"/>
      <c r="B5" s="192" t="n">
        <v>0.6</v>
      </c>
      <c r="C5" s="192" t="n">
        <v>0.191</v>
      </c>
      <c r="D5" s="192" t="n">
        <v>0.59</v>
      </c>
      <c r="E5" s="139"/>
      <c r="F5" s="52"/>
      <c r="G5" s="139"/>
      <c r="H5" s="52"/>
      <c r="I5" s="139"/>
      <c r="J5" s="52"/>
      <c r="K5" s="139"/>
      <c r="L5" s="191" t="n">
        <v>15</v>
      </c>
      <c r="M5" s="191" t="n">
        <v>13.3</v>
      </c>
    </row>
    <row r="6" customFormat="false" ht="12.8" hidden="false" customHeight="false" outlineLevel="0" collapsed="false">
      <c r="A6" s="139"/>
      <c r="B6" s="192" t="n">
        <v>0.75</v>
      </c>
      <c r="C6" s="192" t="n">
        <v>0.239</v>
      </c>
      <c r="D6" s="192" t="n">
        <v>0.67</v>
      </c>
      <c r="E6" s="139"/>
      <c r="F6" s="52"/>
      <c r="G6" s="139"/>
      <c r="H6" s="52"/>
      <c r="I6" s="139"/>
      <c r="J6" s="52"/>
      <c r="K6" s="139"/>
      <c r="L6" s="191" t="n">
        <v>20</v>
      </c>
      <c r="M6" s="191" t="n">
        <v>17.5</v>
      </c>
    </row>
    <row r="7" customFormat="false" ht="12.8" hidden="false" customHeight="false" outlineLevel="0" collapsed="false">
      <c r="A7" s="139"/>
      <c r="B7" s="192" t="n">
        <v>0.8</v>
      </c>
      <c r="C7" s="192" t="n">
        <v>0.255</v>
      </c>
      <c r="D7" s="192" t="n">
        <v>0.92</v>
      </c>
      <c r="E7" s="139"/>
      <c r="F7" s="52"/>
      <c r="G7" s="139"/>
      <c r="H7" s="52"/>
      <c r="I7" s="139"/>
      <c r="J7" s="52"/>
      <c r="K7" s="139"/>
      <c r="L7" s="191" t="n">
        <v>30</v>
      </c>
      <c r="M7" s="191" t="n">
        <v>26</v>
      </c>
    </row>
    <row r="8" customFormat="false" ht="12.8" hidden="false" customHeight="false" outlineLevel="0" collapsed="false">
      <c r="A8" s="139"/>
      <c r="B8" s="192" t="n">
        <v>0.9</v>
      </c>
      <c r="C8" s="192" t="n">
        <v>0.287</v>
      </c>
      <c r="D8" s="192" t="n">
        <v>1.14</v>
      </c>
      <c r="E8" s="139"/>
      <c r="F8" s="52"/>
      <c r="G8" s="139"/>
      <c r="H8" s="52"/>
      <c r="I8" s="139"/>
      <c r="J8" s="52"/>
      <c r="K8" s="139"/>
      <c r="L8" s="191" t="n">
        <v>50</v>
      </c>
      <c r="M8" s="191" t="n">
        <v>44</v>
      </c>
    </row>
    <row r="9" customFormat="false" ht="12.8" hidden="false" customHeight="false" outlineLevel="0" collapsed="false">
      <c r="A9" s="139"/>
      <c r="B9" s="192" t="n">
        <v>1</v>
      </c>
      <c r="C9" s="192" t="n">
        <v>0.319</v>
      </c>
      <c r="D9" s="192" t="n">
        <v>1.16</v>
      </c>
      <c r="E9" s="139"/>
      <c r="F9" s="52"/>
      <c r="G9" s="139"/>
      <c r="H9" s="52"/>
      <c r="I9" s="139"/>
      <c r="J9" s="52"/>
      <c r="K9" s="139"/>
      <c r="L9" s="191" t="n">
        <v>80</v>
      </c>
      <c r="M9" s="191" t="n">
        <v>69</v>
      </c>
    </row>
    <row r="10" customFormat="false" ht="12.8" hidden="false" customHeight="false" outlineLevel="0" collapsed="false">
      <c r="A10" s="139"/>
      <c r="B10" s="192" t="n">
        <v>1.25</v>
      </c>
      <c r="C10" s="192" t="n">
        <v>0.399</v>
      </c>
      <c r="D10" s="192" t="n">
        <v>1.35</v>
      </c>
      <c r="E10" s="139"/>
      <c r="F10" s="52"/>
      <c r="G10" s="139"/>
      <c r="H10" s="52"/>
      <c r="I10" s="139"/>
      <c r="J10" s="52"/>
      <c r="K10" s="139"/>
      <c r="L10" s="191" t="n">
        <v>100</v>
      </c>
      <c r="M10" s="191" t="n">
        <v>87</v>
      </c>
    </row>
    <row r="11" customFormat="false" ht="12.8" hidden="false" customHeight="false" outlineLevel="0" collapsed="false">
      <c r="A11" s="139"/>
      <c r="B11" s="192" t="n">
        <v>1.5</v>
      </c>
      <c r="C11" s="192" t="n">
        <v>0.479</v>
      </c>
      <c r="D11" s="192" t="n">
        <v>1.43</v>
      </c>
      <c r="E11" s="139"/>
      <c r="F11" s="52"/>
      <c r="G11" s="139"/>
      <c r="H11" s="52"/>
      <c r="I11" s="139"/>
      <c r="J11" s="52"/>
      <c r="K11" s="139"/>
      <c r="L11" s="191" t="n">
        <v>120</v>
      </c>
      <c r="M11" s="191" t="n">
        <v>104</v>
      </c>
    </row>
    <row r="12" customFormat="false" ht="12.8" hidden="false" customHeight="false" outlineLevel="0" collapsed="false">
      <c r="A12" s="139"/>
      <c r="B12" s="193" t="n">
        <v>1.75</v>
      </c>
      <c r="C12" s="193" t="n">
        <v>0.559</v>
      </c>
      <c r="D12" s="193" t="n">
        <v>1.67</v>
      </c>
      <c r="E12" s="139"/>
      <c r="F12" s="52"/>
      <c r="G12" s="139"/>
      <c r="H12" s="52"/>
      <c r="I12" s="139"/>
      <c r="J12" s="52"/>
      <c r="K12" s="139"/>
      <c r="L12" s="194" t="n">
        <v>200</v>
      </c>
      <c r="M12" s="194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106</v>
      </c>
      <c r="B25" s="189" t="s">
        <v>101</v>
      </c>
      <c r="C25" s="189" t="s">
        <v>102</v>
      </c>
      <c r="D25" s="189" t="s">
        <v>103</v>
      </c>
      <c r="E25" s="139"/>
      <c r="F25" s="52"/>
      <c r="G25" s="139"/>
      <c r="H25" s="52"/>
      <c r="I25" s="139"/>
      <c r="J25" s="139" t="s">
        <v>107</v>
      </c>
      <c r="K25" s="189" t="s">
        <v>101</v>
      </c>
      <c r="L25" s="189" t="s">
        <v>102</v>
      </c>
      <c r="M25" s="189" t="s">
        <v>103</v>
      </c>
    </row>
    <row r="26" customFormat="false" ht="12.8" hidden="false" customHeight="false" outlineLevel="0" collapsed="false">
      <c r="A26" s="139" t="s">
        <v>108</v>
      </c>
      <c r="B26" s="190" t="n">
        <v>2</v>
      </c>
      <c r="C26" s="190" t="n">
        <v>0.67</v>
      </c>
      <c r="D26" s="190" t="n">
        <v>1.8</v>
      </c>
      <c r="E26" s="139"/>
      <c r="F26" s="52"/>
      <c r="G26" s="139"/>
      <c r="H26" s="52"/>
      <c r="I26" s="139"/>
      <c r="J26" s="139" t="s">
        <v>109</v>
      </c>
      <c r="K26" s="190" t="n">
        <v>1</v>
      </c>
      <c r="L26" s="190" t="n">
        <v>0.949</v>
      </c>
      <c r="M26" s="190" t="n">
        <v>3</v>
      </c>
    </row>
    <row r="27" customFormat="false" ht="12.8" hidden="false" customHeight="false" outlineLevel="0" collapsed="false">
      <c r="A27" s="139"/>
      <c r="B27" s="192" t="n">
        <v>2.5</v>
      </c>
      <c r="C27" s="192" t="n">
        <v>0.837</v>
      </c>
      <c r="D27" s="192" t="n">
        <v>2.4</v>
      </c>
      <c r="E27" s="139"/>
      <c r="F27" s="52"/>
      <c r="G27" s="139"/>
      <c r="H27" s="52"/>
      <c r="I27" s="139"/>
      <c r="J27" s="139" t="s">
        <v>110</v>
      </c>
      <c r="K27" s="192" t="n">
        <v>1.5</v>
      </c>
      <c r="L27" s="192" t="n">
        <v>1.424</v>
      </c>
      <c r="M27" s="192" t="n">
        <v>3.8</v>
      </c>
    </row>
    <row r="28" customFormat="false" ht="12.8" hidden="false" customHeight="false" outlineLevel="0" collapsed="false">
      <c r="A28" s="139"/>
      <c r="B28" s="192" t="n">
        <v>2.8</v>
      </c>
      <c r="C28" s="192" t="n">
        <v>0.938</v>
      </c>
      <c r="D28" s="192" t="n">
        <v>3</v>
      </c>
      <c r="E28" s="139"/>
      <c r="F28" s="52"/>
      <c r="G28" s="139"/>
      <c r="H28" s="52"/>
      <c r="I28" s="139"/>
      <c r="J28" s="139"/>
      <c r="K28" s="192" t="n">
        <v>1.8</v>
      </c>
      <c r="L28" s="192" t="n">
        <v>1.709</v>
      </c>
      <c r="M28" s="192" t="n">
        <v>5</v>
      </c>
    </row>
    <row r="29" customFormat="false" ht="12.8" hidden="false" customHeight="false" outlineLevel="0" collapsed="false">
      <c r="A29" s="139"/>
      <c r="B29" s="192" t="n">
        <v>3</v>
      </c>
      <c r="C29" s="192" t="n">
        <v>1.004</v>
      </c>
      <c r="D29" s="192" t="n">
        <v>3.2</v>
      </c>
      <c r="E29" s="139"/>
      <c r="F29" s="52"/>
      <c r="G29" s="139"/>
      <c r="H29" s="52"/>
      <c r="I29" s="139"/>
      <c r="J29" s="139"/>
      <c r="K29" s="192" t="n">
        <v>2</v>
      </c>
      <c r="L29" s="192" t="n">
        <v>1.899</v>
      </c>
      <c r="M29" s="192" t="n">
        <v>5.6</v>
      </c>
    </row>
    <row r="30" customFormat="false" ht="12.8" hidden="false" customHeight="false" outlineLevel="0" collapsed="false">
      <c r="A30" s="139"/>
      <c r="B30" s="192" t="n">
        <v>3.5</v>
      </c>
      <c r="C30" s="192" t="n">
        <v>1.172</v>
      </c>
      <c r="D30" s="192" t="n">
        <v>3.6</v>
      </c>
      <c r="E30" s="139"/>
      <c r="F30" s="52"/>
      <c r="G30" s="139"/>
      <c r="H30" s="52"/>
      <c r="I30" s="139"/>
      <c r="J30" s="139"/>
      <c r="K30" s="192" t="n">
        <v>2.5</v>
      </c>
      <c r="L30" s="192" t="n">
        <v>2.373</v>
      </c>
      <c r="M30" s="192" t="n">
        <v>6.8</v>
      </c>
    </row>
    <row r="31" customFormat="false" ht="12.8" hidden="false" customHeight="false" outlineLevel="0" collapsed="false">
      <c r="A31" s="139"/>
      <c r="B31" s="192" t="n">
        <v>4</v>
      </c>
      <c r="C31" s="192" t="n">
        <v>1.339</v>
      </c>
      <c r="D31" s="192" t="n">
        <v>4.2</v>
      </c>
      <c r="E31" s="139"/>
      <c r="F31" s="52"/>
      <c r="G31" s="139"/>
      <c r="H31" s="52"/>
      <c r="I31" s="139"/>
      <c r="J31" s="139"/>
      <c r="K31" s="192" t="n">
        <v>3</v>
      </c>
      <c r="L31" s="192" t="n">
        <v>2.848</v>
      </c>
      <c r="M31" s="192" t="n">
        <v>8.5</v>
      </c>
    </row>
    <row r="32" customFormat="false" ht="12.8" hidden="false" customHeight="false" outlineLevel="0" collapsed="false">
      <c r="A32" s="139"/>
      <c r="B32" s="192" t="n">
        <v>4.5</v>
      </c>
      <c r="C32" s="192" t="n">
        <v>1.507</v>
      </c>
      <c r="D32" s="192" t="n">
        <v>4.8</v>
      </c>
      <c r="E32" s="139"/>
      <c r="F32" s="52"/>
      <c r="G32" s="139"/>
      <c r="H32" s="52"/>
      <c r="I32" s="139"/>
      <c r="J32" s="139"/>
      <c r="K32" s="192" t="n">
        <v>3.5</v>
      </c>
      <c r="L32" s="192" t="n">
        <v>3.323</v>
      </c>
      <c r="M32" s="192" t="n">
        <v>10.5</v>
      </c>
    </row>
    <row r="33" customFormat="false" ht="12.8" hidden="false" customHeight="false" outlineLevel="0" collapsed="false">
      <c r="A33" s="139"/>
      <c r="B33" s="192" t="n">
        <v>5</v>
      </c>
      <c r="C33" s="192" t="n">
        <v>1.674</v>
      </c>
      <c r="D33" s="192" t="n">
        <v>5.4</v>
      </c>
      <c r="E33" s="139"/>
      <c r="F33" s="52"/>
      <c r="G33" s="139"/>
      <c r="H33" s="52"/>
      <c r="I33" s="139"/>
      <c r="J33" s="139"/>
      <c r="K33" s="192" t="n">
        <v>4</v>
      </c>
      <c r="L33" s="192" t="n">
        <v>3.797</v>
      </c>
      <c r="M33" s="192" t="n">
        <v>11.5</v>
      </c>
    </row>
    <row r="34" customFormat="false" ht="12.8" hidden="false" customHeight="false" outlineLevel="0" collapsed="false">
      <c r="A34" s="139"/>
      <c r="B34" s="192" t="n">
        <v>5.5</v>
      </c>
      <c r="C34" s="192" t="n">
        <v>1.842</v>
      </c>
      <c r="D34" s="192" t="n">
        <v>6</v>
      </c>
      <c r="E34" s="139"/>
      <c r="F34" s="52"/>
      <c r="G34" s="139"/>
      <c r="H34" s="52"/>
      <c r="I34" s="139"/>
      <c r="J34" s="139"/>
      <c r="K34" s="192" t="n">
        <v>4.5</v>
      </c>
      <c r="L34" s="192" t="n">
        <v>4.272</v>
      </c>
      <c r="M34" s="192" t="n">
        <v>13.4</v>
      </c>
    </row>
    <row r="35" customFormat="false" ht="12.8" hidden="false" customHeight="false" outlineLevel="0" collapsed="false">
      <c r="A35" s="139"/>
      <c r="B35" s="192" t="n">
        <v>6</v>
      </c>
      <c r="C35" s="192" t="n">
        <v>2.009</v>
      </c>
      <c r="D35" s="192" t="n">
        <v>6.4</v>
      </c>
      <c r="E35" s="139"/>
      <c r="F35" s="52"/>
      <c r="G35" s="139"/>
      <c r="H35" s="52"/>
      <c r="I35" s="139"/>
      <c r="J35" s="139"/>
      <c r="K35" s="192" t="n">
        <v>5</v>
      </c>
      <c r="L35" s="192" t="n">
        <v>4.747</v>
      </c>
      <c r="M35" s="192" t="n">
        <v>15</v>
      </c>
    </row>
    <row r="36" customFormat="false" ht="12.8" hidden="false" customHeight="false" outlineLevel="0" collapsed="false">
      <c r="A36" s="139"/>
      <c r="B36" s="193" t="n">
        <v>6.5</v>
      </c>
      <c r="C36" s="193" t="n">
        <v>2.176</v>
      </c>
      <c r="D36" s="193" t="n">
        <v>7.2</v>
      </c>
      <c r="E36" s="139"/>
      <c r="F36" s="52"/>
      <c r="G36" s="139"/>
      <c r="H36" s="52"/>
      <c r="I36" s="139"/>
      <c r="J36" s="139"/>
      <c r="K36" s="193" t="n">
        <v>5.5</v>
      </c>
      <c r="L36" s="193" t="n">
        <v>5.222</v>
      </c>
      <c r="M36" s="193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195"/>
      <c r="B39" s="195"/>
      <c r="C39" s="195"/>
      <c r="D39" s="195"/>
      <c r="E39" s="195"/>
      <c r="G39" s="195"/>
      <c r="I39" s="195"/>
      <c r="J39" s="195"/>
      <c r="K39" s="195"/>
      <c r="L39" s="195"/>
      <c r="M39" s="195"/>
      <c r="N39" s="195"/>
      <c r="O39" s="195"/>
    </row>
    <row r="40" customFormat="false" ht="12.8" hidden="false" customHeight="false" outlineLevel="0" collapsed="false">
      <c r="A40" s="195"/>
      <c r="B40" s="195"/>
      <c r="C40" s="195"/>
      <c r="D40" s="195"/>
      <c r="E40" s="195"/>
      <c r="G40" s="195"/>
      <c r="I40" s="195"/>
      <c r="J40" s="195"/>
      <c r="K40" s="195"/>
      <c r="L40" s="195"/>
      <c r="M40" s="195"/>
      <c r="N40" s="195"/>
      <c r="O40" s="195"/>
    </row>
    <row r="41" customFormat="false" ht="12.8" hidden="false" customHeight="false" outlineLevel="0" collapsed="false">
      <c r="A41" s="195"/>
      <c r="B41" s="195"/>
      <c r="C41" s="195"/>
      <c r="D41" s="195"/>
      <c r="E41" s="195"/>
      <c r="G41" s="195"/>
      <c r="I41" s="195"/>
      <c r="J41" s="195"/>
      <c r="K41" s="195"/>
      <c r="L41" s="195"/>
      <c r="M41" s="195"/>
      <c r="N41" s="195"/>
      <c r="O41" s="195"/>
    </row>
    <row r="42" customFormat="false" ht="12.8" hidden="false" customHeight="false" outlineLevel="0" collapsed="false">
      <c r="A42" s="195"/>
      <c r="B42" s="195"/>
      <c r="C42" s="195"/>
      <c r="D42" s="195"/>
      <c r="E42" s="195"/>
      <c r="G42" s="195"/>
      <c r="I42" s="195"/>
      <c r="J42" s="195"/>
      <c r="K42" s="195"/>
      <c r="L42" s="195"/>
      <c r="M42" s="195"/>
      <c r="N42" s="195"/>
      <c r="O42" s="195"/>
    </row>
    <row r="43" customFormat="false" ht="12.8" hidden="false" customHeight="false" outlineLevel="0" collapsed="false">
      <c r="A43" s="195"/>
      <c r="B43" s="195"/>
      <c r="C43" s="195"/>
      <c r="D43" s="195"/>
      <c r="E43" s="195"/>
      <c r="G43" s="195"/>
      <c r="I43" s="195"/>
      <c r="J43" s="195"/>
      <c r="K43" s="195"/>
      <c r="L43" s="195"/>
      <c r="M43" s="195"/>
      <c r="N43" s="195"/>
      <c r="O43" s="195"/>
    </row>
    <row r="44" customFormat="false" ht="12.8" hidden="false" customHeight="false" outlineLevel="0" collapsed="false">
      <c r="A44" s="195"/>
      <c r="B44" s="195"/>
      <c r="C44" s="195"/>
      <c r="D44" s="195"/>
      <c r="E44" s="195"/>
      <c r="G44" s="195"/>
      <c r="I44" s="195"/>
      <c r="J44" s="195"/>
      <c r="K44" s="195"/>
      <c r="L44" s="195"/>
      <c r="M44" s="195"/>
      <c r="N44" s="195"/>
      <c r="O44" s="195"/>
    </row>
    <row r="45" customFormat="false" ht="12.8" hidden="false" customHeight="false" outlineLevel="0" collapsed="false">
      <c r="A45" s="195"/>
      <c r="B45" s="195"/>
      <c r="C45" s="195"/>
      <c r="D45" s="195"/>
      <c r="E45" s="195"/>
      <c r="G45" s="195"/>
      <c r="I45" s="195"/>
      <c r="J45" s="195"/>
      <c r="K45" s="195"/>
      <c r="L45" s="195"/>
      <c r="M45" s="195"/>
      <c r="N45" s="195"/>
      <c r="O45" s="195"/>
    </row>
    <row r="46" customFormat="false" ht="12.8" hidden="false" customHeight="false" outlineLevel="0" collapsed="false">
      <c r="A46" s="195"/>
      <c r="B46" s="195"/>
      <c r="C46" s="195"/>
      <c r="D46" s="195"/>
      <c r="E46" s="195"/>
      <c r="G46" s="195"/>
      <c r="I46" s="195"/>
      <c r="J46" s="195"/>
      <c r="K46" s="195"/>
      <c r="L46" s="195"/>
      <c r="M46" s="195"/>
      <c r="N46" s="195"/>
      <c r="O46" s="195"/>
    </row>
    <row r="47" customFormat="false" ht="12.8" hidden="false" customHeight="false" outlineLevel="0" collapsed="false">
      <c r="A47" s="195"/>
      <c r="B47" s="195"/>
      <c r="C47" s="195"/>
      <c r="D47" s="195"/>
      <c r="E47" s="195"/>
      <c r="G47" s="195"/>
      <c r="I47" s="195"/>
      <c r="J47" s="195"/>
      <c r="K47" s="195"/>
      <c r="L47" s="195"/>
      <c r="M47" s="195"/>
      <c r="N47" s="195"/>
      <c r="O47" s="195"/>
    </row>
    <row r="48" customFormat="false" ht="12.8" hidden="false" customHeight="false" outlineLevel="0" collapsed="false">
      <c r="A48" s="195"/>
      <c r="B48" s="195"/>
      <c r="C48" s="195"/>
      <c r="D48" s="195"/>
      <c r="E48" s="195"/>
      <c r="G48" s="195"/>
      <c r="I48" s="195"/>
      <c r="J48" s="195"/>
      <c r="K48" s="195"/>
      <c r="L48" s="195"/>
      <c r="M48" s="195"/>
      <c r="N48" s="195"/>
      <c r="O48" s="195"/>
    </row>
    <row r="49" customFormat="false" ht="12.8" hidden="false" customHeight="false" outlineLevel="0" collapsed="false">
      <c r="A49" s="195"/>
      <c r="B49" s="195"/>
      <c r="C49" s="195"/>
      <c r="D49" s="195"/>
      <c r="E49" s="195"/>
      <c r="G49" s="195"/>
      <c r="I49" s="195"/>
      <c r="J49" s="195"/>
      <c r="K49" s="195"/>
      <c r="L49" s="195"/>
      <c r="M49" s="195"/>
      <c r="N49" s="195"/>
      <c r="O49" s="195"/>
    </row>
    <row r="50" customFormat="false" ht="12.8" hidden="false" customHeight="false" outlineLevel="0" collapsed="false">
      <c r="A50" s="195"/>
      <c r="B50" s="195"/>
      <c r="C50" s="195"/>
      <c r="D50" s="195"/>
      <c r="E50" s="195"/>
      <c r="G50" s="195"/>
      <c r="I50" s="195"/>
      <c r="J50" s="195"/>
      <c r="K50" s="195"/>
      <c r="L50" s="195"/>
      <c r="M50" s="195"/>
      <c r="N50" s="195"/>
      <c r="O50" s="195"/>
    </row>
    <row r="51" customFormat="false" ht="12.8" hidden="false" customHeight="false" outlineLevel="0" collapsed="false">
      <c r="A51" s="195"/>
      <c r="B51" s="195"/>
      <c r="C51" s="195"/>
      <c r="D51" s="195"/>
      <c r="E51" s="195"/>
      <c r="G51" s="195"/>
      <c r="I51" s="195"/>
      <c r="J51" s="195"/>
      <c r="K51" s="195"/>
      <c r="L51" s="195"/>
      <c r="M51" s="195"/>
      <c r="N51" s="195"/>
      <c r="O51" s="195"/>
    </row>
    <row r="52" customFormat="false" ht="12.8" hidden="false" customHeight="false" outlineLevel="0" collapsed="false">
      <c r="A52" s="195"/>
      <c r="B52" s="195"/>
      <c r="C52" s="195"/>
      <c r="D52" s="195"/>
      <c r="E52" s="195"/>
      <c r="G52" s="195"/>
      <c r="I52" s="195"/>
      <c r="J52" s="195"/>
      <c r="K52" s="195"/>
      <c r="L52" s="195"/>
      <c r="M52" s="195"/>
      <c r="N52" s="195"/>
      <c r="O52" s="195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89" t="s">
        <v>111</v>
      </c>
      <c r="I53" s="189"/>
      <c r="J53" s="189"/>
      <c r="K53" s="189"/>
      <c r="L53" s="189"/>
      <c r="M53" s="195"/>
      <c r="N53" s="195"/>
      <c r="O53" s="195"/>
    </row>
    <row r="54" customFormat="false" ht="12.8" hidden="false" customHeight="false" outlineLevel="0" collapsed="false">
      <c r="C54" s="139"/>
      <c r="D54" s="139"/>
      <c r="E54" s="189" t="s">
        <v>112</v>
      </c>
      <c r="F54" s="189"/>
      <c r="G54" s="52"/>
      <c r="H54" s="189" t="s">
        <v>113</v>
      </c>
      <c r="I54" s="189"/>
      <c r="J54" s="52"/>
      <c r="K54" s="189" t="s">
        <v>114</v>
      </c>
      <c r="L54" s="189"/>
      <c r="M54" s="195"/>
      <c r="N54" s="195"/>
      <c r="O54" s="195"/>
    </row>
    <row r="55" customFormat="false" ht="12.8" hidden="false" customHeight="false" outlineLevel="0" collapsed="false">
      <c r="A55" s="196" t="s">
        <v>115</v>
      </c>
      <c r="B55" s="197" t="n">
        <v>1</v>
      </c>
      <c r="C55" s="139"/>
      <c r="D55" s="196" t="s">
        <v>116</v>
      </c>
      <c r="E55" s="198" t="n">
        <v>30</v>
      </c>
      <c r="F55" s="199"/>
      <c r="G55" s="200"/>
      <c r="H55" s="198" t="n">
        <v>3</v>
      </c>
      <c r="I55" s="201"/>
      <c r="J55" s="202"/>
      <c r="K55" s="203" t="n">
        <v>12</v>
      </c>
      <c r="L55" s="204"/>
      <c r="M55" s="195"/>
      <c r="N55" s="195"/>
      <c r="O55" s="195"/>
    </row>
    <row r="56" customFormat="false" ht="12.8" hidden="false" customHeight="false" outlineLevel="0" collapsed="false">
      <c r="A56" s="194" t="s">
        <v>117</v>
      </c>
      <c r="B56" s="205" t="n">
        <v>4</v>
      </c>
      <c r="C56" s="139"/>
      <c r="D56" s="191" t="s">
        <v>103</v>
      </c>
      <c r="E56" s="198" t="n">
        <v>1000</v>
      </c>
      <c r="F56" s="201"/>
      <c r="G56" s="200"/>
      <c r="H56" s="198" t="n">
        <v>1000</v>
      </c>
      <c r="I56" s="201"/>
      <c r="J56" s="202"/>
      <c r="K56" s="198" t="n">
        <v>4000</v>
      </c>
      <c r="L56" s="206"/>
      <c r="M56" s="195"/>
      <c r="N56" s="195"/>
      <c r="O56" s="195"/>
    </row>
    <row r="57" customFormat="false" ht="12.8" hidden="false" customHeight="false" outlineLevel="0" collapsed="false">
      <c r="A57" s="139"/>
      <c r="B57" s="139"/>
      <c r="C57" s="139"/>
      <c r="D57" s="191" t="s">
        <v>118</v>
      </c>
      <c r="E57" s="198" t="n">
        <f aca="false">E56/E55</f>
        <v>33.3333333333333</v>
      </c>
      <c r="F57" s="201"/>
      <c r="G57" s="200"/>
      <c r="H57" s="198" t="n">
        <f aca="false">H56/H55</f>
        <v>333.333333333333</v>
      </c>
      <c r="I57" s="201"/>
      <c r="J57" s="202"/>
      <c r="K57" s="198" t="n">
        <f aca="false">K56/K55</f>
        <v>333.333333333333</v>
      </c>
      <c r="L57" s="206"/>
      <c r="M57" s="195"/>
      <c r="N57" s="195"/>
      <c r="O57" s="195"/>
    </row>
    <row r="58" customFormat="false" ht="12.8" hidden="false" customHeight="false" outlineLevel="0" collapsed="false">
      <c r="A58" s="196" t="s">
        <v>115</v>
      </c>
      <c r="B58" s="197" t="n">
        <v>20</v>
      </c>
      <c r="C58" s="139"/>
      <c r="D58" s="191" t="s">
        <v>119</v>
      </c>
      <c r="E58" s="198" t="n">
        <f aca="false">E57/$B$55</f>
        <v>33.3333333333333</v>
      </c>
      <c r="F58" s="201"/>
      <c r="G58" s="200"/>
      <c r="H58" s="198" t="n">
        <f aca="false">H57/$B$58</f>
        <v>16.6666666666667</v>
      </c>
      <c r="I58" s="201"/>
      <c r="J58" s="200"/>
      <c r="K58" s="198" t="n">
        <f aca="false">K57/$B$58</f>
        <v>16.6666666666667</v>
      </c>
      <c r="L58" s="206"/>
      <c r="M58" s="195"/>
      <c r="N58" s="195"/>
      <c r="O58" s="195"/>
    </row>
    <row r="59" customFormat="false" ht="12.8" hidden="false" customHeight="false" outlineLevel="0" collapsed="false">
      <c r="A59" s="194" t="s">
        <v>117</v>
      </c>
      <c r="B59" s="205" t="n">
        <v>5</v>
      </c>
      <c r="C59" s="139"/>
      <c r="D59" s="194" t="s">
        <v>120</v>
      </c>
      <c r="E59" s="198" t="n">
        <f aca="false">E58/$B$56</f>
        <v>8.33333333333333</v>
      </c>
      <c r="F59" s="201"/>
      <c r="G59" s="200"/>
      <c r="H59" s="198" t="n">
        <f aca="false">H58/$B$59</f>
        <v>3.33333333333333</v>
      </c>
      <c r="I59" s="201"/>
      <c r="J59" s="202"/>
      <c r="K59" s="198" t="n">
        <f aca="false">K58/$B$59</f>
        <v>3.33333333333333</v>
      </c>
      <c r="L59" s="206"/>
      <c r="O59" s="195"/>
    </row>
    <row r="60" customFormat="false" ht="12.8" hidden="false" customHeight="false" outlineLevel="0" collapsed="false">
      <c r="A60" s="139"/>
      <c r="B60" s="139"/>
      <c r="C60" s="139"/>
      <c r="D60" s="207" t="s">
        <v>121</v>
      </c>
      <c r="E60" s="203" t="n">
        <f aca="false" t="array" ref="E60:F60">LINEST(C2:C12,D2:D12)</f>
        <v>0.305306543235851</v>
      </c>
      <c r="F60" s="204" t="n">
        <v>0.00350091310751105</v>
      </c>
      <c r="G60" s="208"/>
      <c r="H60" s="203" t="n">
        <f aca="false" t="array" ref="H60:I60">LINEST(C26:C36,D26:D36)</f>
        <v>0.28786680229775</v>
      </c>
      <c r="I60" s="204" t="n">
        <v>0.122763044518909</v>
      </c>
      <c r="J60" s="209"/>
      <c r="K60" s="203" t="n">
        <f aca="false" t="array" ref="K60:L60">LINEST(L26:L36,M26:M36)</f>
        <v>0.30092866093806</v>
      </c>
      <c r="L60" s="204" t="n">
        <v>0.221821912736386</v>
      </c>
      <c r="N60" s="195"/>
      <c r="O60" s="195"/>
    </row>
    <row r="61" customFormat="false" ht="12.8" hidden="false" customHeight="false" outlineLevel="0" collapsed="false">
      <c r="A61" s="139"/>
      <c r="B61" s="139"/>
      <c r="C61" s="139"/>
      <c r="D61" s="138" t="s">
        <v>102</v>
      </c>
      <c r="E61" s="198" t="n">
        <f aca="false">(E59*E60)+F60</f>
        <v>2.5477221067396</v>
      </c>
      <c r="F61" s="201"/>
      <c r="G61" s="202"/>
      <c r="H61" s="198" t="n">
        <f aca="false">(H59*H60)+I60</f>
        <v>1.08231905217808</v>
      </c>
      <c r="I61" s="206"/>
      <c r="J61" s="200"/>
      <c r="K61" s="198" t="n">
        <f aca="false">(K59*K60)+L60</f>
        <v>1.22491744919658</v>
      </c>
      <c r="L61" s="206"/>
      <c r="M61" s="195"/>
      <c r="N61" s="195"/>
      <c r="O61" s="195"/>
    </row>
    <row r="62" customFormat="false" ht="12.8" hidden="false" customHeight="false" outlineLevel="0" collapsed="false">
      <c r="A62" s="52"/>
      <c r="B62" s="52"/>
      <c r="C62" s="139"/>
      <c r="D62" s="138" t="s">
        <v>122</v>
      </c>
      <c r="E62" s="198" t="n">
        <f aca="false" t="array" ref="E62:F62">LINEST(B2:B12,C2:C12)</f>
        <v>3.13108183713084</v>
      </c>
      <c r="F62" s="206" t="n">
        <v>0.000622635954573363</v>
      </c>
      <c r="G62" s="202"/>
      <c r="H62" s="198" t="n">
        <f aca="false" t="array" ref="H62:I62">LINEST(B26:B36,C26:C36)</f>
        <v>2.98699761840629</v>
      </c>
      <c r="I62" s="206" t="n">
        <v>-0.000616352362423981</v>
      </c>
      <c r="J62" s="200"/>
      <c r="K62" s="210" t="n">
        <f aca="false" t="array" ref="K62:L62">LINEST(K26:K36,L26:L36)</f>
        <v>1.05325631990576</v>
      </c>
      <c r="L62" s="206" t="n">
        <v>0.000255859537147681</v>
      </c>
      <c r="M62" s="195"/>
    </row>
    <row r="63" customFormat="false" ht="12.8" hidden="false" customHeight="false" outlineLevel="0" collapsed="false">
      <c r="A63" s="52"/>
      <c r="B63" s="52"/>
      <c r="C63" s="139"/>
      <c r="D63" s="211" t="s">
        <v>101</v>
      </c>
      <c r="E63" s="212" t="n">
        <f aca="false">(E62*E61)+F62</f>
        <v>7.97774905042366</v>
      </c>
      <c r="F63" s="213"/>
      <c r="G63" s="209"/>
      <c r="H63" s="212" t="n">
        <f aca="false">(H62*H61)+I62</f>
        <v>3.23226807884925</v>
      </c>
      <c r="I63" s="214"/>
      <c r="J63" s="208"/>
      <c r="K63" s="212" t="n">
        <f aca="false">(K62*K61)+L62</f>
        <v>1.2904079042663</v>
      </c>
      <c r="L63" s="214"/>
      <c r="M63" s="195"/>
      <c r="O63" s="195"/>
    </row>
    <row r="64" customFormat="false" ht="12.8" hidden="false" customHeight="false" outlineLevel="0" collapsed="false">
      <c r="A64" s="139"/>
      <c r="B64" s="139"/>
      <c r="C64" s="139"/>
      <c r="M64" s="195"/>
      <c r="O64" s="195"/>
    </row>
    <row r="65" customFormat="false" ht="12.8" hidden="false" customHeight="false" outlineLevel="0" collapsed="false">
      <c r="A65" s="195"/>
      <c r="B65" s="195"/>
      <c r="C65" s="195"/>
      <c r="G65" s="195"/>
      <c r="I65" s="195"/>
      <c r="K65" s="195"/>
      <c r="L65" s="195"/>
      <c r="M65" s="195"/>
      <c r="O65" s="195"/>
    </row>
    <row r="66" customFormat="false" ht="12.8" hidden="false" customHeight="false" outlineLevel="0" collapsed="false">
      <c r="A66" s="195"/>
      <c r="B66" s="195"/>
      <c r="C66" s="195"/>
      <c r="D66" s="195"/>
      <c r="G66" s="195"/>
      <c r="I66" s="195"/>
      <c r="K66" s="195"/>
      <c r="L66" s="195"/>
      <c r="M66" s="195"/>
      <c r="O66" s="195"/>
    </row>
    <row r="67" customFormat="false" ht="12.8" hidden="false" customHeight="false" outlineLevel="0" collapsed="false">
      <c r="A67" s="195"/>
      <c r="B67" s="195"/>
      <c r="C67" s="195"/>
      <c r="D67" s="195"/>
      <c r="E67" s="195"/>
      <c r="G67" s="195"/>
      <c r="I67" s="195"/>
      <c r="J67" s="195"/>
      <c r="K67" s="195"/>
      <c r="L67" s="195"/>
      <c r="M67" s="195"/>
      <c r="N67" s="195"/>
      <c r="O67" s="195"/>
    </row>
    <row r="68" customFormat="false" ht="12.8" hidden="false" customHeight="false" outlineLevel="0" collapsed="false">
      <c r="A68" s="195"/>
      <c r="B68" s="195"/>
      <c r="C68" s="195"/>
      <c r="D68" s="195"/>
      <c r="E68" s="195"/>
      <c r="G68" s="195"/>
      <c r="I68" s="195"/>
      <c r="J68" s="195"/>
      <c r="K68" s="195"/>
      <c r="L68" s="195"/>
      <c r="M68" s="195"/>
      <c r="N68" s="195"/>
      <c r="O68" s="195"/>
    </row>
    <row r="69" customFormat="false" ht="12.8" hidden="false" customHeight="false" outlineLevel="0" collapsed="false">
      <c r="A69" s="195"/>
      <c r="B69" s="195"/>
      <c r="C69" s="195"/>
      <c r="D69" s="195"/>
      <c r="I69" s="195"/>
      <c r="L69" s="195"/>
      <c r="M69" s="195"/>
    </row>
    <row r="70" customFormat="false" ht="12.8" hidden="false" customHeight="false" outlineLevel="0" collapsed="false">
      <c r="A70" s="195"/>
      <c r="B70" s="195"/>
      <c r="C70" s="195"/>
      <c r="D70" s="195"/>
      <c r="E70" s="195"/>
      <c r="G70" s="195"/>
      <c r="I70" s="195"/>
      <c r="J70" s="195"/>
      <c r="K70" s="195"/>
      <c r="L70" s="195"/>
      <c r="M70" s="195"/>
      <c r="N70" s="195"/>
      <c r="O70" s="195"/>
    </row>
    <row r="71" customFormat="false" ht="12.8" hidden="false" customHeight="false" outlineLevel="0" collapsed="false">
      <c r="A71" s="195"/>
      <c r="B71" s="195"/>
      <c r="C71" s="195"/>
      <c r="D71" s="195"/>
      <c r="E71" s="195"/>
      <c r="G71" s="195"/>
      <c r="I71" s="195"/>
      <c r="J71" s="195"/>
      <c r="K71" s="195"/>
      <c r="L71" s="195"/>
      <c r="M71" s="195"/>
      <c r="N71" s="195"/>
      <c r="O71" s="195"/>
    </row>
    <row r="72" customFormat="false" ht="12.8" hidden="false" customHeight="false" outlineLevel="0" collapsed="false">
      <c r="A72" s="195"/>
      <c r="B72" s="195"/>
      <c r="C72" s="195"/>
      <c r="D72" s="195"/>
      <c r="G72" s="195"/>
      <c r="I72" s="195"/>
      <c r="K72" s="195"/>
      <c r="L72" s="195"/>
      <c r="M72" s="195"/>
      <c r="O72" s="195"/>
    </row>
    <row r="73" customFormat="false" ht="12.8" hidden="false" customHeight="false" outlineLevel="0" collapsed="false">
      <c r="A73" s="195"/>
      <c r="B73" s="195"/>
      <c r="C73" s="195"/>
      <c r="D73" s="195"/>
      <c r="E73" s="195"/>
      <c r="G73" s="195"/>
      <c r="I73" s="195"/>
      <c r="J73" s="195"/>
      <c r="K73" s="195"/>
      <c r="L73" s="195"/>
      <c r="M73" s="195"/>
      <c r="N73" s="195"/>
      <c r="O73" s="195"/>
    </row>
    <row r="74" customFormat="false" ht="12.8" hidden="false" customHeight="false" outlineLevel="0" collapsed="false">
      <c r="A74" s="195"/>
      <c r="B74" s="195"/>
      <c r="C74" s="195"/>
      <c r="D74" s="195"/>
      <c r="E74" s="195"/>
      <c r="G74" s="195"/>
      <c r="I74" s="195"/>
      <c r="J74" s="195"/>
      <c r="K74" s="195"/>
      <c r="L74" s="195"/>
      <c r="M74" s="195"/>
      <c r="N74" s="195"/>
      <c r="O74" s="195"/>
    </row>
    <row r="75" customFormat="false" ht="12.8" hidden="false" customHeight="false" outlineLevel="0" collapsed="false">
      <c r="A75" s="195"/>
      <c r="B75" s="195"/>
      <c r="C75" s="195"/>
      <c r="D75" s="195"/>
      <c r="E75" s="195"/>
      <c r="G75" s="195"/>
      <c r="I75" s="195"/>
      <c r="J75" s="195"/>
      <c r="K75" s="195"/>
      <c r="L75" s="195"/>
      <c r="M75" s="195"/>
      <c r="N75" s="195"/>
      <c r="O75" s="195"/>
    </row>
    <row r="76" customFormat="false" ht="12.8" hidden="false" customHeight="false" outlineLevel="0" collapsed="false">
      <c r="A76" s="195"/>
      <c r="B76" s="195"/>
      <c r="C76" s="195"/>
      <c r="D76" s="195"/>
      <c r="I76" s="195"/>
      <c r="L76" s="195"/>
      <c r="M76" s="195"/>
    </row>
    <row r="77" customFormat="false" ht="12.8" hidden="false" customHeight="false" outlineLevel="0" collapsed="false">
      <c r="A77" s="195"/>
      <c r="B77" s="195"/>
      <c r="C77" s="195"/>
      <c r="D77" s="195"/>
      <c r="G77" s="195"/>
      <c r="I77" s="195"/>
      <c r="J77" s="195"/>
      <c r="K77" s="195"/>
      <c r="L77" s="195"/>
      <c r="M77" s="195"/>
      <c r="N77" s="195"/>
      <c r="O77" s="195"/>
    </row>
    <row r="78" customFormat="false" ht="12.8" hidden="false" customHeight="false" outlineLevel="0" collapsed="false">
      <c r="A78" s="195"/>
      <c r="B78" s="195"/>
      <c r="C78" s="195"/>
      <c r="D78" s="195"/>
      <c r="G78" s="195"/>
      <c r="I78" s="195"/>
      <c r="K78" s="195"/>
      <c r="L78" s="195"/>
      <c r="M78" s="195"/>
      <c r="O78" s="195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89" t="s">
        <v>123</v>
      </c>
      <c r="B1" s="189" t="s">
        <v>124</v>
      </c>
      <c r="C1" s="189" t="s">
        <v>125</v>
      </c>
      <c r="D1" s="189" t="s">
        <v>126</v>
      </c>
      <c r="E1" s="189" t="s">
        <v>127</v>
      </c>
      <c r="F1" s="189" t="s">
        <v>128</v>
      </c>
      <c r="G1" s="189" t="s">
        <v>129</v>
      </c>
      <c r="H1" s="215" t="s">
        <v>130</v>
      </c>
    </row>
    <row r="2" customFormat="false" ht="12.8" hidden="false" customHeight="false" outlineLevel="0" collapsed="false">
      <c r="A2" s="191" t="s">
        <v>131</v>
      </c>
      <c r="B2" s="192" t="n">
        <v>18.9</v>
      </c>
      <c r="C2" s="192" t="n">
        <f aca="false">((B2*1000)/350)</f>
        <v>54</v>
      </c>
      <c r="D2" s="192" t="n">
        <f aca="false">((B2*1000)/350)/1000</f>
        <v>0.054</v>
      </c>
      <c r="E2" s="192" t="n">
        <f aca="false">D2*100</f>
        <v>5.4</v>
      </c>
      <c r="F2" s="192" t="n">
        <f aca="false">D2*1000</f>
        <v>54</v>
      </c>
      <c r="G2" s="192" t="n">
        <f aca="false">D2*2000</f>
        <v>108</v>
      </c>
      <c r="H2" s="215" t="s">
        <v>132</v>
      </c>
    </row>
    <row r="3" customFormat="false" ht="12.8" hidden="false" customHeight="false" outlineLevel="0" collapsed="false">
      <c r="A3" s="191" t="s">
        <v>133</v>
      </c>
      <c r="B3" s="192" t="n">
        <v>522.8</v>
      </c>
      <c r="C3" s="192" t="n">
        <f aca="false">((B3*1000)/350)</f>
        <v>1493.71428571429</v>
      </c>
      <c r="D3" s="192" t="n">
        <f aca="false">((B3*1000)/350)/1000</f>
        <v>1.49371428571429</v>
      </c>
      <c r="E3" s="192" t="n">
        <f aca="false">D3*100</f>
        <v>149.371428571429</v>
      </c>
      <c r="F3" s="192" t="n">
        <f aca="false">D3*1000</f>
        <v>1493.71428571429</v>
      </c>
      <c r="G3" s="192" t="n">
        <f aca="false">D3*2000</f>
        <v>2987.42857142857</v>
      </c>
      <c r="H3" s="215" t="s">
        <v>134</v>
      </c>
    </row>
    <row r="4" customFormat="false" ht="12.8" hidden="false" customHeight="false" outlineLevel="0" collapsed="false">
      <c r="A4" s="191" t="s">
        <v>135</v>
      </c>
      <c r="B4" s="192" t="n">
        <v>0.42</v>
      </c>
      <c r="C4" s="192" t="n">
        <f aca="false">((B4*1000)/350)</f>
        <v>1.2</v>
      </c>
      <c r="D4" s="192" t="n">
        <f aca="false">((B4*1000)/350)/1000</f>
        <v>0.0012</v>
      </c>
      <c r="E4" s="192" t="n">
        <f aca="false">D4*100</f>
        <v>0.12</v>
      </c>
      <c r="F4" s="192" t="n">
        <f aca="false">D4*1000</f>
        <v>1.2</v>
      </c>
      <c r="G4" s="192" t="n">
        <f aca="false">D4*2000</f>
        <v>2.4</v>
      </c>
      <c r="H4" s="215" t="s">
        <v>136</v>
      </c>
    </row>
    <row r="5" customFormat="false" ht="12.8" hidden="false" customHeight="false" outlineLevel="0" collapsed="false">
      <c r="A5" s="191" t="s">
        <v>137</v>
      </c>
      <c r="B5" s="192" t="n">
        <v>10.5</v>
      </c>
      <c r="C5" s="192" t="n">
        <f aca="false">((B5*1000)/350)</f>
        <v>30</v>
      </c>
      <c r="D5" s="192" t="n">
        <f aca="false">((B5*1000)/350)/1000</f>
        <v>0.03</v>
      </c>
      <c r="E5" s="192" t="n">
        <f aca="false">D5*100</f>
        <v>3</v>
      </c>
      <c r="F5" s="192" t="n">
        <f aca="false">D5*1000</f>
        <v>30</v>
      </c>
      <c r="G5" s="192" t="n">
        <f aca="false">D5*2000</f>
        <v>60</v>
      </c>
      <c r="H5" s="215" t="s">
        <v>138</v>
      </c>
    </row>
    <row r="6" customFormat="false" ht="12.8" hidden="false" customHeight="false" outlineLevel="0" collapsed="false">
      <c r="A6" s="191" t="s">
        <v>139</v>
      </c>
      <c r="B6" s="192" t="n">
        <v>0.0105</v>
      </c>
      <c r="C6" s="192" t="n">
        <f aca="false">((B6*1000)/350)</f>
        <v>0.03</v>
      </c>
      <c r="D6" s="192" t="n">
        <f aca="false">((B6*1000)/350)/1000</f>
        <v>3E-005</v>
      </c>
      <c r="E6" s="192" t="n">
        <f aca="false">D6*100</f>
        <v>0.003</v>
      </c>
      <c r="F6" s="192" t="n">
        <f aca="false">D6*1000</f>
        <v>0.03</v>
      </c>
      <c r="G6" s="192" t="n">
        <f aca="false">D6*2000</f>
        <v>0.06</v>
      </c>
      <c r="H6" s="215" t="s">
        <v>140</v>
      </c>
    </row>
    <row r="7" customFormat="false" ht="12.8" hidden="false" customHeight="false" outlineLevel="0" collapsed="false">
      <c r="A7" s="191" t="s">
        <v>141</v>
      </c>
      <c r="B7" s="192" t="n">
        <v>0.21</v>
      </c>
      <c r="C7" s="192" t="n">
        <f aca="false">((B7*1000)/350)</f>
        <v>0.6</v>
      </c>
      <c r="D7" s="192" t="n">
        <f aca="false">((B7*1000)/350)/1000</f>
        <v>0.0006</v>
      </c>
      <c r="E7" s="192" t="n">
        <f aca="false">D7*100</f>
        <v>0.06</v>
      </c>
      <c r="F7" s="192" t="n">
        <f aca="false">D7*1000</f>
        <v>0.6</v>
      </c>
      <c r="G7" s="192" t="n">
        <f aca="false">D7*2000</f>
        <v>1.2</v>
      </c>
      <c r="H7" s="215" t="s">
        <v>142</v>
      </c>
    </row>
    <row r="8" customFormat="false" ht="12.8" hidden="false" customHeight="false" outlineLevel="0" collapsed="false">
      <c r="A8" s="194" t="s">
        <v>143</v>
      </c>
      <c r="B8" s="193" t="n">
        <v>9.23</v>
      </c>
      <c r="C8" s="193" t="n">
        <f aca="false">((B8*1000)/350)</f>
        <v>26.3714285714286</v>
      </c>
      <c r="D8" s="193" t="n">
        <f aca="false">((B8*1000)/350)/1000</f>
        <v>0.0263714285714286</v>
      </c>
      <c r="E8" s="193" t="n">
        <f aca="false">D8*100</f>
        <v>2.63714285714286</v>
      </c>
      <c r="F8" s="193" t="n">
        <f aca="false">D8*1000</f>
        <v>26.3714285714286</v>
      </c>
      <c r="G8" s="193" t="n">
        <f aca="false">D8*2000</f>
        <v>52.7428571428571</v>
      </c>
      <c r="H8" s="215" t="s">
        <v>144</v>
      </c>
    </row>
    <row r="11" customFormat="false" ht="12.8" hidden="false" customHeight="false" outlineLevel="0" collapsed="false">
      <c r="A11" s="189" t="s">
        <v>145</v>
      </c>
      <c r="B11" s="189" t="s">
        <v>146</v>
      </c>
      <c r="C11" s="189"/>
      <c r="D11" s="189"/>
      <c r="E11" s="189"/>
    </row>
    <row r="12" customFormat="false" ht="12.8" hidden="false" customHeight="false" outlineLevel="0" collapsed="false">
      <c r="A12" s="216" t="n">
        <v>500</v>
      </c>
      <c r="B12" s="189" t="s">
        <v>147</v>
      </c>
      <c r="C12" s="189" t="s">
        <v>148</v>
      </c>
      <c r="D12" s="189" t="s">
        <v>149</v>
      </c>
      <c r="E12" s="189" t="s">
        <v>150</v>
      </c>
    </row>
    <row r="13" customFormat="false" ht="12.8" hidden="false" customHeight="false" outlineLevel="0" collapsed="false">
      <c r="A13" s="196" t="s">
        <v>131</v>
      </c>
      <c r="B13" s="217" t="n">
        <f aca="false">D2*($A$12/1000)</f>
        <v>0.027</v>
      </c>
      <c r="C13" s="217" t="n">
        <f aca="false">(E2*$A$12)/1000</f>
        <v>2.7</v>
      </c>
      <c r="D13" s="217" t="n">
        <f aca="false">(F2*$A$12)/1000</f>
        <v>27</v>
      </c>
      <c r="E13" s="217" t="n">
        <f aca="false">(G2*$A$12)/1000</f>
        <v>54</v>
      </c>
    </row>
    <row r="14" customFormat="false" ht="12.8" hidden="false" customHeight="false" outlineLevel="0" collapsed="false">
      <c r="A14" s="191" t="s">
        <v>133</v>
      </c>
      <c r="B14" s="218" t="n">
        <f aca="false">D3*($A$12/1000)</f>
        <v>0.746857142857143</v>
      </c>
      <c r="C14" s="218" t="n">
        <f aca="false">(E3*$A$12)/1000</f>
        <v>74.6857142857143</v>
      </c>
      <c r="D14" s="218" t="n">
        <f aca="false">(F3*$A$12)/1000</f>
        <v>746.857142857143</v>
      </c>
      <c r="E14" s="218" t="n">
        <f aca="false">(G3*$A$12)/1000</f>
        <v>1493.71428571429</v>
      </c>
    </row>
    <row r="15" customFormat="false" ht="12.8" hidden="false" customHeight="false" outlineLevel="0" collapsed="false">
      <c r="A15" s="191" t="s">
        <v>135</v>
      </c>
      <c r="B15" s="218" t="n">
        <f aca="false">D4*($A$12/1000)</f>
        <v>0.0006</v>
      </c>
      <c r="C15" s="218" t="n">
        <f aca="false">(E4*$A$12)/1000</f>
        <v>0.06</v>
      </c>
      <c r="D15" s="218" t="n">
        <f aca="false">(F4*$A$12)/1000</f>
        <v>0.6</v>
      </c>
      <c r="E15" s="218" t="n">
        <f aca="false">(G4*$A$12)/1000</f>
        <v>1.2</v>
      </c>
    </row>
    <row r="16" customFormat="false" ht="12.8" hidden="false" customHeight="false" outlineLevel="0" collapsed="false">
      <c r="A16" s="191" t="s">
        <v>137</v>
      </c>
      <c r="B16" s="218" t="n">
        <f aca="false">D5*($A$12/1000)</f>
        <v>0.015</v>
      </c>
      <c r="C16" s="218" t="n">
        <f aca="false">(E5*$A$12)/1000</f>
        <v>1.5</v>
      </c>
      <c r="D16" s="218" t="n">
        <f aca="false">(F5*$A$12)/1000</f>
        <v>15</v>
      </c>
      <c r="E16" s="218" t="n">
        <f aca="false">(G5*$A$12)/1000</f>
        <v>30</v>
      </c>
    </row>
    <row r="17" customFormat="false" ht="12.8" hidden="false" customHeight="false" outlineLevel="0" collapsed="false">
      <c r="A17" s="191" t="s">
        <v>139</v>
      </c>
      <c r="B17" s="218" t="n">
        <f aca="false">D6*($A$12/1000)</f>
        <v>1.5E-005</v>
      </c>
      <c r="C17" s="218" t="n">
        <f aca="false">(E6*$A$12)/1000</f>
        <v>0.0015</v>
      </c>
      <c r="D17" s="218" t="n">
        <f aca="false">(F6*$A$12)/1000</f>
        <v>0.015</v>
      </c>
      <c r="E17" s="218" t="n">
        <f aca="false">(G6*$A$12)/1000</f>
        <v>0.03</v>
      </c>
    </row>
    <row r="18" customFormat="false" ht="12.8" hidden="false" customHeight="false" outlineLevel="0" collapsed="false">
      <c r="A18" s="191" t="s">
        <v>141</v>
      </c>
      <c r="B18" s="218" t="n">
        <f aca="false">D7*($A$12/1000)</f>
        <v>0.0003</v>
      </c>
      <c r="C18" s="218" t="n">
        <f aca="false">(E7*$A$12)/1000</f>
        <v>0.03</v>
      </c>
      <c r="D18" s="218" t="n">
        <f aca="false">(F7*$A$12)/1000</f>
        <v>0.3</v>
      </c>
      <c r="E18" s="218" t="n">
        <f aca="false">(G7*$A$12)/1000</f>
        <v>0.6</v>
      </c>
    </row>
    <row r="19" customFormat="false" ht="12.8" hidden="false" customHeight="false" outlineLevel="0" collapsed="false">
      <c r="A19" s="191" t="s">
        <v>143</v>
      </c>
      <c r="B19" s="218" t="n">
        <f aca="false">D8*($A$12/1000)</f>
        <v>0.0131857142857143</v>
      </c>
      <c r="C19" s="218" t="n">
        <f aca="false">(E8*$A$12)/1000</f>
        <v>1.31857142857143</v>
      </c>
      <c r="D19" s="218" t="n">
        <f aca="false">(F8*$A$12)/1000</f>
        <v>13.1857142857143</v>
      </c>
      <c r="E19" s="218" t="n">
        <f aca="false">(G8*$A$12)/1000</f>
        <v>26.3714285714286</v>
      </c>
    </row>
    <row r="20" customFormat="false" ht="12.8" hidden="false" customHeight="false" outlineLevel="0" collapsed="false">
      <c r="A20" s="219" t="s">
        <v>145</v>
      </c>
      <c r="B20" s="219" t="n">
        <f aca="false">C20*100</f>
        <v>500</v>
      </c>
      <c r="C20" s="219" t="n">
        <f aca="false">D20*10</f>
        <v>5</v>
      </c>
      <c r="D20" s="219" t="n">
        <f aca="false">1*(A12/1000)</f>
        <v>0.5</v>
      </c>
      <c r="E20" s="219" t="n">
        <f aca="false">D20/2</f>
        <v>0.25</v>
      </c>
    </row>
    <row r="21" customFormat="false" ht="12.8" hidden="false" customHeight="false" outlineLevel="0" collapsed="false">
      <c r="B21" s="195"/>
      <c r="C21" s="195"/>
      <c r="D21" s="195"/>
      <c r="E21" s="195"/>
    </row>
    <row r="23" customFormat="false" ht="12.8" hidden="false" customHeight="false" outlineLevel="0" collapsed="false">
      <c r="A23" s="189" t="s">
        <v>145</v>
      </c>
      <c r="B23" s="189" t="s">
        <v>146</v>
      </c>
      <c r="C23" s="189"/>
      <c r="D23" s="189"/>
      <c r="E23" s="189"/>
    </row>
    <row r="24" customFormat="false" ht="12.8" hidden="false" customHeight="false" outlineLevel="0" collapsed="false">
      <c r="A24" s="216" t="n">
        <v>100</v>
      </c>
      <c r="B24" s="189" t="s">
        <v>147</v>
      </c>
      <c r="C24" s="189" t="s">
        <v>148</v>
      </c>
      <c r="D24" s="189" t="s">
        <v>149</v>
      </c>
      <c r="E24" s="189" t="s">
        <v>150</v>
      </c>
    </row>
    <row r="25" customFormat="false" ht="12.8" hidden="false" customHeight="false" outlineLevel="0" collapsed="false">
      <c r="A25" s="196" t="s">
        <v>131</v>
      </c>
      <c r="B25" s="217" t="n">
        <f aca="false">D2*($A$24/1000)</f>
        <v>0.0054</v>
      </c>
      <c r="C25" s="217" t="n">
        <f aca="false">(E2*$A$24)/1000</f>
        <v>0.54</v>
      </c>
      <c r="D25" s="217" t="n">
        <f aca="false">(F2*$A$24)/1000</f>
        <v>5.4</v>
      </c>
      <c r="E25" s="217" t="n">
        <f aca="false">(G2*$A$24)/1000</f>
        <v>10.8</v>
      </c>
    </row>
    <row r="26" customFormat="false" ht="12.8" hidden="false" customHeight="false" outlineLevel="0" collapsed="false">
      <c r="A26" s="191" t="s">
        <v>133</v>
      </c>
      <c r="B26" s="218" t="n">
        <f aca="false">D3*($A$24/1000)</f>
        <v>0.149371428571429</v>
      </c>
      <c r="C26" s="218" t="n">
        <f aca="false">(E3*$A$24)/1000</f>
        <v>14.9371428571429</v>
      </c>
      <c r="D26" s="218" t="n">
        <f aca="false">(F3*$A$24)/1000</f>
        <v>149.371428571429</v>
      </c>
      <c r="E26" s="218" t="n">
        <f aca="false">(G3*$A$24)/1000</f>
        <v>298.742857142857</v>
      </c>
    </row>
    <row r="27" customFormat="false" ht="12.8" hidden="false" customHeight="false" outlineLevel="0" collapsed="false">
      <c r="A27" s="191" t="s">
        <v>135</v>
      </c>
      <c r="B27" s="218" t="n">
        <f aca="false">D4*($A$24/1000)</f>
        <v>0.00012</v>
      </c>
      <c r="C27" s="218" t="n">
        <f aca="false">(E4*$A$24)/1000</f>
        <v>0.012</v>
      </c>
      <c r="D27" s="218" t="n">
        <f aca="false">(F4*$A$24)/1000</f>
        <v>0.12</v>
      </c>
      <c r="E27" s="218" t="n">
        <f aca="false">(G4*$A$24)/1000</f>
        <v>0.24</v>
      </c>
    </row>
    <row r="28" customFormat="false" ht="12.8" hidden="false" customHeight="false" outlineLevel="0" collapsed="false">
      <c r="A28" s="191" t="s">
        <v>137</v>
      </c>
      <c r="B28" s="218" t="n">
        <f aca="false">D5*($A$24/1000)</f>
        <v>0.003</v>
      </c>
      <c r="C28" s="218" t="n">
        <f aca="false">(E5*$A$24)/1000</f>
        <v>0.3</v>
      </c>
      <c r="D28" s="218" t="n">
        <f aca="false">(F5*$A$24)/1000</f>
        <v>3</v>
      </c>
      <c r="E28" s="218" t="n">
        <f aca="false">(G5*$A$24)/1000</f>
        <v>6</v>
      </c>
    </row>
    <row r="29" customFormat="false" ht="12.8" hidden="false" customHeight="false" outlineLevel="0" collapsed="false">
      <c r="A29" s="191" t="s">
        <v>139</v>
      </c>
      <c r="B29" s="218" t="n">
        <f aca="false">D6*($A$24/1000)</f>
        <v>3E-006</v>
      </c>
      <c r="C29" s="218" t="n">
        <f aca="false">(E6*$A$24)/1000</f>
        <v>0.0003</v>
      </c>
      <c r="D29" s="218" t="n">
        <f aca="false">(F6*$A$24)/1000</f>
        <v>0.003</v>
      </c>
      <c r="E29" s="218" t="n">
        <f aca="false">(G6*$A$24)/1000</f>
        <v>0.006</v>
      </c>
    </row>
    <row r="30" customFormat="false" ht="12.8" hidden="false" customHeight="false" outlineLevel="0" collapsed="false">
      <c r="A30" s="191" t="s">
        <v>141</v>
      </c>
      <c r="B30" s="218" t="n">
        <f aca="false">D7*($A$24/1000)</f>
        <v>6E-005</v>
      </c>
      <c r="C30" s="218" t="n">
        <f aca="false">(E7*$A$24)/1000</f>
        <v>0.006</v>
      </c>
      <c r="D30" s="218" t="n">
        <f aca="false">(F7*$A$24)/1000</f>
        <v>0.06</v>
      </c>
      <c r="E30" s="218" t="n">
        <f aca="false">(G7*$A$24)/1000</f>
        <v>0.12</v>
      </c>
    </row>
    <row r="31" customFormat="false" ht="12.8" hidden="false" customHeight="false" outlineLevel="0" collapsed="false">
      <c r="A31" s="191" t="s">
        <v>143</v>
      </c>
      <c r="B31" s="218" t="n">
        <f aca="false">D8*($A$24/1000)</f>
        <v>0.00263714285714286</v>
      </c>
      <c r="C31" s="218" t="n">
        <f aca="false">(E8*$A$24)/1000</f>
        <v>0.263714285714286</v>
      </c>
      <c r="D31" s="218" t="n">
        <f aca="false">(F8*$A$24)/1000</f>
        <v>2.63714285714286</v>
      </c>
      <c r="E31" s="218" t="n">
        <f aca="false">(G8*$A$24)/1000</f>
        <v>5.27428571428571</v>
      </c>
    </row>
    <row r="32" customFormat="false" ht="12.8" hidden="false" customHeight="false" outlineLevel="0" collapsed="false">
      <c r="A32" s="219" t="s">
        <v>145</v>
      </c>
      <c r="B32" s="219" t="n">
        <f aca="false">C32*100</f>
        <v>100</v>
      </c>
      <c r="C32" s="219" t="n">
        <f aca="false">D32*10</f>
        <v>1</v>
      </c>
      <c r="D32" s="219" t="n">
        <f aca="false">1*(A24/1000)</f>
        <v>0.1</v>
      </c>
      <c r="E32" s="219" t="n">
        <f aca="false">D32/2</f>
        <v>0.05</v>
      </c>
    </row>
    <row r="35" customFormat="false" ht="12.8" hidden="false" customHeight="false" outlineLevel="0" collapsed="false">
      <c r="A35" s="189" t="s">
        <v>145</v>
      </c>
      <c r="B35" s="189" t="s">
        <v>146</v>
      </c>
      <c r="C35" s="189"/>
      <c r="D35" s="189"/>
      <c r="E35" s="189"/>
    </row>
    <row r="36" customFormat="false" ht="12.8" hidden="false" customHeight="false" outlineLevel="0" collapsed="false">
      <c r="A36" s="216" t="n">
        <v>2000</v>
      </c>
      <c r="B36" s="189" t="s">
        <v>147</v>
      </c>
      <c r="C36" s="189" t="s">
        <v>148</v>
      </c>
      <c r="D36" s="189" t="s">
        <v>149</v>
      </c>
      <c r="E36" s="189" t="s">
        <v>150</v>
      </c>
    </row>
    <row r="37" customFormat="false" ht="12.8" hidden="false" customHeight="false" outlineLevel="0" collapsed="false">
      <c r="A37" s="196" t="s">
        <v>131</v>
      </c>
      <c r="B37" s="217" t="n">
        <f aca="false">D2*($A$36/1000)</f>
        <v>0.108</v>
      </c>
      <c r="C37" s="217" t="n">
        <f aca="false">(E2*$A$36)/1000</f>
        <v>10.8</v>
      </c>
      <c r="D37" s="217" t="n">
        <f aca="false">(F2*$A$36)/1000</f>
        <v>108</v>
      </c>
      <c r="E37" s="217" t="n">
        <f aca="false">(G2*$A$36)/1000</f>
        <v>216</v>
      </c>
    </row>
    <row r="38" customFormat="false" ht="12.8" hidden="false" customHeight="false" outlineLevel="0" collapsed="false">
      <c r="A38" s="191" t="s">
        <v>133</v>
      </c>
      <c r="B38" s="218" t="n">
        <f aca="false">D3*($A$36/1000)</f>
        <v>2.98742857142857</v>
      </c>
      <c r="C38" s="218" t="n">
        <f aca="false">(E3*$A$36)/1000</f>
        <v>298.742857142857</v>
      </c>
      <c r="D38" s="218" t="n">
        <f aca="false">(F3*$A$36)/1000</f>
        <v>2987.42857142857</v>
      </c>
      <c r="E38" s="218" t="n">
        <f aca="false">(G3*$A$36)/1000</f>
        <v>5974.85714285714</v>
      </c>
    </row>
    <row r="39" customFormat="false" ht="12.8" hidden="false" customHeight="false" outlineLevel="0" collapsed="false">
      <c r="A39" s="191" t="s">
        <v>135</v>
      </c>
      <c r="B39" s="218" t="n">
        <f aca="false">D4*($A$36/1000)</f>
        <v>0.0024</v>
      </c>
      <c r="C39" s="218" t="n">
        <f aca="false">(E4*$A$36)/1000</f>
        <v>0.24</v>
      </c>
      <c r="D39" s="218" t="n">
        <f aca="false">(F4*$A$36)/1000</f>
        <v>2.4</v>
      </c>
      <c r="E39" s="218" t="n">
        <f aca="false">(G4*$A$36)/1000</f>
        <v>4.8</v>
      </c>
    </row>
    <row r="40" customFormat="false" ht="12.8" hidden="false" customHeight="false" outlineLevel="0" collapsed="false">
      <c r="A40" s="191" t="s">
        <v>137</v>
      </c>
      <c r="B40" s="218" t="n">
        <f aca="false">D5*($A$36/1000)</f>
        <v>0.06</v>
      </c>
      <c r="C40" s="218" t="n">
        <f aca="false">(E5*$A$36)/1000</f>
        <v>6</v>
      </c>
      <c r="D40" s="218" t="n">
        <f aca="false">(F5*$A$36)/1000</f>
        <v>60</v>
      </c>
      <c r="E40" s="218" t="n">
        <f aca="false">(G5*$A$36)/1000</f>
        <v>120</v>
      </c>
    </row>
    <row r="41" customFormat="false" ht="12.8" hidden="false" customHeight="false" outlineLevel="0" collapsed="false">
      <c r="A41" s="191" t="s">
        <v>139</v>
      </c>
      <c r="B41" s="218" t="n">
        <f aca="false">D6*($A$36/1000)</f>
        <v>6E-005</v>
      </c>
      <c r="C41" s="218" t="n">
        <f aca="false">(E6*$A$36)/1000</f>
        <v>0.006</v>
      </c>
      <c r="D41" s="218" t="n">
        <f aca="false">(F6*$A$36)/1000</f>
        <v>0.06</v>
      </c>
      <c r="E41" s="218" t="n">
        <f aca="false">(G6*$A$36)/1000</f>
        <v>0.12</v>
      </c>
    </row>
    <row r="42" customFormat="false" ht="12.8" hidden="false" customHeight="false" outlineLevel="0" collapsed="false">
      <c r="A42" s="191" t="s">
        <v>141</v>
      </c>
      <c r="B42" s="218" t="n">
        <f aca="false">D7*($A$36/1000)</f>
        <v>0.0012</v>
      </c>
      <c r="C42" s="218" t="n">
        <f aca="false">(E7*$A$36)/1000</f>
        <v>0.12</v>
      </c>
      <c r="D42" s="218" t="n">
        <f aca="false">(F7*$A$36)/1000</f>
        <v>1.2</v>
      </c>
      <c r="E42" s="218" t="n">
        <f aca="false">(G7*$A$36)/1000</f>
        <v>2.4</v>
      </c>
    </row>
    <row r="43" customFormat="false" ht="12.8" hidden="false" customHeight="false" outlineLevel="0" collapsed="false">
      <c r="A43" s="191" t="s">
        <v>143</v>
      </c>
      <c r="B43" s="218" t="n">
        <f aca="false">D8*($A$36/1000)</f>
        <v>0.0527428571428571</v>
      </c>
      <c r="C43" s="218" t="n">
        <f aca="false">(E8*$A$36)/1000</f>
        <v>5.27428571428571</v>
      </c>
      <c r="D43" s="218" t="n">
        <f aca="false">(F8*$A$36)/1000</f>
        <v>52.7428571428571</v>
      </c>
      <c r="E43" s="218" t="n">
        <f aca="false">(G8*$A$36)/1000</f>
        <v>105.485714285714</v>
      </c>
    </row>
    <row r="44" customFormat="false" ht="12.8" hidden="false" customHeight="false" outlineLevel="0" collapsed="false">
      <c r="A44" s="219" t="s">
        <v>145</v>
      </c>
      <c r="B44" s="219" t="n">
        <f aca="false">C44*100</f>
        <v>2000</v>
      </c>
      <c r="C44" s="219" t="n">
        <f aca="false">D44*10</f>
        <v>20</v>
      </c>
      <c r="D44" s="219" t="n">
        <f aca="false">1*(A36/1000)</f>
        <v>2</v>
      </c>
      <c r="E44" s="219" t="n">
        <f aca="false">D44/2</f>
        <v>1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68"/>
    <col collapsed="false" customWidth="true" hidden="false" outlineLevel="0" max="3" min="3" style="0" width="12.84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7.71"/>
  </cols>
  <sheetData>
    <row r="1" customFormat="false" ht="12.8" hidden="false" customHeight="false" outlineLevel="0" collapsed="false">
      <c r="A1" s="2" t="s">
        <v>151</v>
      </c>
      <c r="B1" s="2"/>
      <c r="C1" s="2"/>
      <c r="D1" s="2"/>
      <c r="E1" s="2"/>
    </row>
    <row r="2" customFormat="false" ht="12.8" hidden="false" customHeight="false" outlineLevel="0" collapsed="false">
      <c r="A2" s="60" t="s">
        <v>152</v>
      </c>
      <c r="B2" s="60" t="s">
        <v>153</v>
      </c>
      <c r="C2" s="60" t="s">
        <v>154</v>
      </c>
      <c r="D2" s="60" t="s">
        <v>155</v>
      </c>
      <c r="E2" s="60" t="s">
        <v>156</v>
      </c>
    </row>
    <row r="3" customFormat="false" ht="12.8" hidden="false" customHeight="false" outlineLevel="0" collapsed="false">
      <c r="A3" s="68" t="s">
        <v>157</v>
      </c>
      <c r="B3" s="68" t="n">
        <v>50</v>
      </c>
      <c r="C3" s="220" t="n">
        <v>7.068</v>
      </c>
      <c r="D3" s="220" t="n">
        <f aca="false">25+25+24.9</f>
        <v>74.9</v>
      </c>
      <c r="E3" s="221" t="n">
        <f aca="false">(D3*$C$6*50000)/B3</f>
        <v>7490</v>
      </c>
    </row>
    <row r="4" customFormat="false" ht="12.8" hidden="false" customHeight="false" outlineLevel="0" collapsed="false">
      <c r="A4" s="68" t="s">
        <v>158</v>
      </c>
      <c r="B4" s="68" t="n">
        <v>50</v>
      </c>
      <c r="C4" s="220" t="n">
        <v>4.237</v>
      </c>
      <c r="D4" s="220" t="n">
        <v>2.2</v>
      </c>
      <c r="E4" s="221" t="n">
        <f aca="false">(D4*$C$6*50000)/B4</f>
        <v>220</v>
      </c>
    </row>
    <row r="5" customFormat="false" ht="12.8" hidden="false" customHeight="false" outlineLevel="0" collapsed="false">
      <c r="A5" s="72" t="s">
        <v>159</v>
      </c>
      <c r="B5" s="72" t="n">
        <v>50</v>
      </c>
      <c r="C5" s="222" t="n">
        <v>6.52</v>
      </c>
      <c r="D5" s="222" t="n">
        <v>15</v>
      </c>
      <c r="E5" s="223" t="n">
        <f aca="false">(D5*$C$6*50000)/B5</f>
        <v>1500</v>
      </c>
    </row>
    <row r="6" customFormat="false" ht="12.8" hidden="false" customHeight="false" outlineLevel="0" collapsed="false">
      <c r="B6" s="110" t="s">
        <v>160</v>
      </c>
      <c r="C6" s="23" t="n">
        <v>0.1</v>
      </c>
    </row>
    <row r="7" customFormat="false" ht="12.8" hidden="false" customHeight="false" outlineLevel="0" collapsed="false">
      <c r="B7" s="110" t="s">
        <v>161</v>
      </c>
      <c r="C7" s="23" t="n">
        <v>4</v>
      </c>
    </row>
    <row r="11" customFormat="false" ht="12.8" hidden="false" customHeight="false" outlineLevel="0" collapsed="false">
      <c r="A11" s="2" t="s">
        <v>162</v>
      </c>
      <c r="B11" s="2"/>
      <c r="C11" s="2"/>
      <c r="D11" s="2"/>
      <c r="E11" s="2"/>
      <c r="F11" s="2"/>
    </row>
    <row r="12" customFormat="false" ht="12.8" hidden="false" customHeight="false" outlineLevel="0" collapsed="false">
      <c r="A12" s="60" t="s">
        <v>152</v>
      </c>
      <c r="B12" s="60" t="s">
        <v>153</v>
      </c>
      <c r="C12" s="60" t="s">
        <v>154</v>
      </c>
      <c r="D12" s="60" t="s">
        <v>163</v>
      </c>
      <c r="E12" s="224" t="s">
        <v>164</v>
      </c>
      <c r="F12" s="60" t="s">
        <v>165</v>
      </c>
    </row>
    <row r="13" customFormat="false" ht="12.8" hidden="false" customHeight="false" outlineLevel="0" collapsed="false">
      <c r="A13" s="68" t="s">
        <v>157</v>
      </c>
      <c r="B13" s="68" t="n">
        <v>50</v>
      </c>
      <c r="C13" s="220" t="s">
        <v>61</v>
      </c>
      <c r="D13" s="220" t="n">
        <f aca="false">25+25+2.1</f>
        <v>52.1</v>
      </c>
      <c r="E13" s="221" t="n">
        <f aca="false">(D13*$C$16*60000)/B13</f>
        <v>6252</v>
      </c>
      <c r="F13" s="221" t="n">
        <f aca="false">E13/E3</f>
        <v>0.834712950600801</v>
      </c>
    </row>
    <row r="14" customFormat="false" ht="12.8" hidden="false" customHeight="false" outlineLevel="0" collapsed="false">
      <c r="A14" s="68" t="s">
        <v>158</v>
      </c>
      <c r="B14" s="68" t="n">
        <v>50</v>
      </c>
      <c r="C14" s="220" t="s">
        <v>61</v>
      </c>
      <c r="D14" s="220" t="n">
        <v>21.1</v>
      </c>
      <c r="E14" s="221" t="n">
        <f aca="false">(D14*$C$16*60000)/B14</f>
        <v>2532</v>
      </c>
      <c r="F14" s="221" t="n">
        <f aca="false">E14/E4</f>
        <v>11.5090909090909</v>
      </c>
    </row>
    <row r="15" customFormat="false" ht="12.8" hidden="false" customHeight="false" outlineLevel="0" collapsed="false">
      <c r="A15" s="72" t="s">
        <v>159</v>
      </c>
      <c r="B15" s="72" t="n">
        <v>50</v>
      </c>
      <c r="C15" s="222" t="s">
        <v>61</v>
      </c>
      <c r="D15" s="222" t="n">
        <v>11.6</v>
      </c>
      <c r="E15" s="223" t="n">
        <f aca="false">(D15*$C$16*60000)/B15</f>
        <v>1392</v>
      </c>
      <c r="F15" s="223" t="n">
        <f aca="false">E15/E5</f>
        <v>0.928</v>
      </c>
    </row>
    <row r="16" customFormat="false" ht="12.8" hidden="false" customHeight="false" outlineLevel="0" collapsed="false">
      <c r="B16" s="110" t="s">
        <v>166</v>
      </c>
      <c r="C16" s="23" t="n">
        <v>0.1</v>
      </c>
    </row>
    <row r="17" customFormat="false" ht="12.8" hidden="false" customHeight="false" outlineLevel="0" collapsed="false">
      <c r="B17" s="110" t="s">
        <v>161</v>
      </c>
      <c r="C17" s="23" t="n">
        <v>7</v>
      </c>
    </row>
    <row r="21" customFormat="false" ht="12.8" hidden="false" customHeight="false" outlineLevel="0" collapsed="false">
      <c r="A21" s="2" t="s">
        <v>167</v>
      </c>
      <c r="B21" s="2"/>
      <c r="C21" s="2"/>
      <c r="D21" s="2"/>
      <c r="E21" s="2"/>
    </row>
    <row r="22" customFormat="false" ht="12.8" hidden="false" customHeight="false" outlineLevel="0" collapsed="false">
      <c r="A22" s="60" t="s">
        <v>152</v>
      </c>
      <c r="B22" s="60" t="s">
        <v>153</v>
      </c>
      <c r="C22" s="60" t="s">
        <v>154</v>
      </c>
      <c r="D22" s="60" t="s">
        <v>155</v>
      </c>
      <c r="E22" s="60" t="s">
        <v>156</v>
      </c>
    </row>
    <row r="23" customFormat="false" ht="12.8" hidden="false" customHeight="false" outlineLevel="0" collapsed="false">
      <c r="A23" s="68" t="s">
        <v>157</v>
      </c>
      <c r="B23" s="68" t="n">
        <v>36</v>
      </c>
      <c r="C23" s="220" t="n">
        <v>7</v>
      </c>
      <c r="D23" s="220" t="n">
        <v>54.5</v>
      </c>
      <c r="E23" s="221" t="n">
        <f aca="false">(D23*$C$6*50000)/B23</f>
        <v>7569.44444444444</v>
      </c>
    </row>
    <row r="24" customFormat="false" ht="12.8" hidden="false" customHeight="false" outlineLevel="0" collapsed="false">
      <c r="A24" s="68" t="s">
        <v>158</v>
      </c>
      <c r="B24" s="68" t="n">
        <v>38</v>
      </c>
      <c r="C24" s="220" t="n">
        <v>4.15</v>
      </c>
      <c r="D24" s="220" t="n">
        <v>0.65</v>
      </c>
      <c r="E24" s="221" t="n">
        <f aca="false">(D24*$C$6*50000)/B24</f>
        <v>85.5263157894737</v>
      </c>
    </row>
    <row r="25" customFormat="false" ht="12.8" hidden="false" customHeight="false" outlineLevel="0" collapsed="false">
      <c r="A25" s="72" t="s">
        <v>159</v>
      </c>
      <c r="B25" s="72" t="n">
        <v>37</v>
      </c>
      <c r="C25" s="222" t="n">
        <v>6.48</v>
      </c>
      <c r="D25" s="222" t="n">
        <v>8.9</v>
      </c>
      <c r="E25" s="223" t="n">
        <f aca="false">(D25*$C$6*50000)/B25</f>
        <v>1202.7027027027</v>
      </c>
    </row>
    <row r="26" customFormat="false" ht="12.8" hidden="false" customHeight="false" outlineLevel="0" collapsed="false">
      <c r="B26" s="110" t="s">
        <v>160</v>
      </c>
      <c r="C26" s="23" t="n">
        <v>0.1</v>
      </c>
    </row>
    <row r="27" customFormat="false" ht="12.8" hidden="false" customHeight="false" outlineLevel="0" collapsed="false">
      <c r="B27" s="110" t="s">
        <v>161</v>
      </c>
      <c r="C27" s="23" t="n">
        <v>4</v>
      </c>
    </row>
    <row r="31" customFormat="false" ht="12.8" hidden="false" customHeight="false" outlineLevel="0" collapsed="false">
      <c r="A31" s="2" t="s">
        <v>168</v>
      </c>
      <c r="B31" s="2"/>
      <c r="C31" s="2"/>
      <c r="D31" s="2"/>
      <c r="E31" s="2"/>
      <c r="F31" s="2"/>
    </row>
    <row r="32" customFormat="false" ht="12.8" hidden="false" customHeight="false" outlineLevel="0" collapsed="false">
      <c r="A32" s="60" t="s">
        <v>152</v>
      </c>
      <c r="B32" s="60" t="s">
        <v>153</v>
      </c>
      <c r="C32" s="60" t="s">
        <v>154</v>
      </c>
      <c r="D32" s="60" t="s">
        <v>163</v>
      </c>
      <c r="E32" s="224" t="s">
        <v>164</v>
      </c>
      <c r="F32" s="60" t="s">
        <v>165</v>
      </c>
    </row>
    <row r="33" customFormat="false" ht="12.8" hidden="false" customHeight="false" outlineLevel="0" collapsed="false">
      <c r="A33" s="68" t="s">
        <v>157</v>
      </c>
      <c r="B33" s="68" t="n">
        <v>39</v>
      </c>
      <c r="C33" s="220" t="s">
        <v>61</v>
      </c>
      <c r="D33" s="220" t="n">
        <v>40.6</v>
      </c>
      <c r="E33" s="221" t="n">
        <f aca="false">(D33*$C$16*60000)/B33</f>
        <v>6246.15384615385</v>
      </c>
      <c r="F33" s="221" t="n">
        <f aca="false">E33/E23</f>
        <v>0.825179957657022</v>
      </c>
    </row>
    <row r="34" customFormat="false" ht="12.8" hidden="false" customHeight="false" outlineLevel="0" collapsed="false">
      <c r="A34" s="68" t="s">
        <v>158</v>
      </c>
      <c r="B34" s="68" t="n">
        <v>38</v>
      </c>
      <c r="C34" s="220" t="s">
        <v>61</v>
      </c>
      <c r="D34" s="220" t="n">
        <v>11</v>
      </c>
      <c r="E34" s="221" t="n">
        <f aca="false">(D34*$C$16*60000)/B34</f>
        <v>1736.84210526316</v>
      </c>
      <c r="F34" s="221" t="n">
        <f aca="false">E34/E24</f>
        <v>20.3076923076923</v>
      </c>
    </row>
    <row r="35" customFormat="false" ht="12.8" hidden="false" customHeight="false" outlineLevel="0" collapsed="false">
      <c r="A35" s="72" t="s">
        <v>159</v>
      </c>
      <c r="B35" s="72" t="n">
        <v>37</v>
      </c>
      <c r="C35" s="222" t="s">
        <v>61</v>
      </c>
      <c r="D35" s="222" t="n">
        <v>6.8</v>
      </c>
      <c r="E35" s="223" t="n">
        <f aca="false">(D35*$C$16*60000)/B35</f>
        <v>1102.7027027027</v>
      </c>
      <c r="F35" s="223" t="n">
        <f aca="false">E35/E25</f>
        <v>0.91685393258427</v>
      </c>
    </row>
    <row r="36" customFormat="false" ht="12.8" hidden="false" customHeight="false" outlineLevel="0" collapsed="false">
      <c r="B36" s="110" t="s">
        <v>166</v>
      </c>
      <c r="C36" s="23" t="n">
        <v>0.1</v>
      </c>
    </row>
    <row r="37" customFormat="false" ht="12.8" hidden="false" customHeight="false" outlineLevel="0" collapsed="false">
      <c r="B37" s="110" t="s">
        <v>161</v>
      </c>
      <c r="C37" s="23" t="n">
        <v>7</v>
      </c>
    </row>
  </sheetData>
  <mergeCells count="4">
    <mergeCell ref="A1:E1"/>
    <mergeCell ref="A11:F11"/>
    <mergeCell ref="A21:E21"/>
    <mergeCell ref="A31:F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68"/>
    <col collapsed="false" customWidth="true" hidden="false" outlineLevel="0" max="4" min="4" style="0" width="17.01"/>
    <col collapsed="false" customWidth="true" hidden="false" outlineLevel="0" max="5" min="5" style="0" width="16.59"/>
    <col collapsed="false" customWidth="true" hidden="false" outlineLevel="0" max="6" min="6" style="0" width="20.5"/>
  </cols>
  <sheetData>
    <row r="1" customFormat="false" ht="12.8" hidden="false" customHeight="false" outlineLevel="0" collapsed="false">
      <c r="A1" s="2" t="s">
        <v>151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60" t="s">
        <v>152</v>
      </c>
      <c r="B2" s="60" t="s">
        <v>153</v>
      </c>
      <c r="C2" s="60" t="s">
        <v>154</v>
      </c>
      <c r="D2" s="60" t="s">
        <v>155</v>
      </c>
      <c r="E2" s="60" t="s">
        <v>163</v>
      </c>
      <c r="F2" s="60" t="s">
        <v>164</v>
      </c>
    </row>
    <row r="3" customFormat="false" ht="12.8" hidden="false" customHeight="false" outlineLevel="0" collapsed="false">
      <c r="A3" s="68" t="s">
        <v>157</v>
      </c>
      <c r="B3" s="68" t="n">
        <v>50</v>
      </c>
      <c r="C3" s="220" t="n">
        <v>7.06</v>
      </c>
      <c r="D3" s="68" t="n">
        <v>14</v>
      </c>
      <c r="E3" s="220" t="n">
        <v>114.4</v>
      </c>
      <c r="F3" s="221" t="n">
        <f aca="false">(E3*$C$6*60000)/B3</f>
        <v>13728</v>
      </c>
    </row>
    <row r="4" customFormat="false" ht="12.8" hidden="false" customHeight="false" outlineLevel="0" collapsed="false">
      <c r="A4" s="68" t="s">
        <v>158</v>
      </c>
      <c r="B4" s="68" t="n">
        <v>50</v>
      </c>
      <c r="C4" s="220" t="n">
        <v>4.17</v>
      </c>
      <c r="D4" s="68" t="n">
        <v>2</v>
      </c>
      <c r="E4" s="220" t="n">
        <v>35</v>
      </c>
      <c r="F4" s="221" t="n">
        <f aca="false">(E4*$C$6*60000)/B4</f>
        <v>4200</v>
      </c>
    </row>
    <row r="5" customFormat="false" ht="12.8" hidden="false" customHeight="false" outlineLevel="0" collapsed="false">
      <c r="A5" s="72" t="s">
        <v>159</v>
      </c>
      <c r="B5" s="72" t="n">
        <v>50</v>
      </c>
      <c r="C5" s="222" t="n">
        <v>6.48</v>
      </c>
      <c r="D5" s="72" t="n">
        <v>6</v>
      </c>
      <c r="E5" s="222" t="n">
        <v>47.7</v>
      </c>
      <c r="F5" s="223" t="n">
        <f aca="false">(E5*$C$6*60000)/B5</f>
        <v>5724</v>
      </c>
    </row>
    <row r="6" customFormat="false" ht="12.8" hidden="false" customHeight="false" outlineLevel="0" collapsed="false">
      <c r="B6" s="110" t="s">
        <v>166</v>
      </c>
      <c r="C6" s="23" t="n">
        <v>0.1</v>
      </c>
    </row>
    <row r="7" customFormat="false" ht="12.8" hidden="false" customHeight="false" outlineLevel="0" collapsed="false">
      <c r="B7" s="110" t="s">
        <v>161</v>
      </c>
      <c r="C7" s="23" t="n">
        <v>7</v>
      </c>
    </row>
    <row r="10" customFormat="false" ht="12.8" hidden="false" customHeight="false" outlineLevel="0" collapsed="false">
      <c r="A10" s="2" t="s">
        <v>169</v>
      </c>
      <c r="B10" s="2"/>
      <c r="C10" s="2"/>
      <c r="D10" s="2"/>
      <c r="E10" s="2"/>
      <c r="F10" s="2"/>
    </row>
    <row r="11" customFormat="false" ht="12.8" hidden="false" customHeight="false" outlineLevel="0" collapsed="false">
      <c r="A11" s="60" t="s">
        <v>152</v>
      </c>
      <c r="B11" s="60" t="s">
        <v>153</v>
      </c>
      <c r="C11" s="60" t="s">
        <v>154</v>
      </c>
      <c r="D11" s="60" t="s">
        <v>155</v>
      </c>
      <c r="E11" s="60" t="s">
        <v>163</v>
      </c>
      <c r="F11" s="60" t="s">
        <v>164</v>
      </c>
    </row>
    <row r="12" customFormat="false" ht="12.8" hidden="false" customHeight="false" outlineLevel="0" collapsed="false">
      <c r="A12" s="68" t="s">
        <v>157</v>
      </c>
      <c r="B12" s="68" t="n">
        <v>37</v>
      </c>
      <c r="C12" s="220" t="n">
        <v>7.12</v>
      </c>
      <c r="D12" s="68" t="n">
        <v>9</v>
      </c>
      <c r="E12" s="220" t="n">
        <v>74.9</v>
      </c>
      <c r="F12" s="221" t="n">
        <f aca="false">(E12*$C$15*60000)/B12</f>
        <v>12145.9459459459</v>
      </c>
    </row>
    <row r="13" customFormat="false" ht="12.8" hidden="false" customHeight="false" outlineLevel="0" collapsed="false">
      <c r="A13" s="68" t="s">
        <v>158</v>
      </c>
      <c r="B13" s="68" t="n">
        <v>38</v>
      </c>
      <c r="C13" s="220" t="n">
        <v>4.14</v>
      </c>
      <c r="D13" s="68" t="n">
        <v>2</v>
      </c>
      <c r="E13" s="220" t="n">
        <v>29.5</v>
      </c>
      <c r="F13" s="221" t="n">
        <f aca="false">(E13*$C$15*60000)/B13</f>
        <v>4657.89473684211</v>
      </c>
    </row>
    <row r="14" customFormat="false" ht="12.8" hidden="false" customHeight="false" outlineLevel="0" collapsed="false">
      <c r="A14" s="72" t="s">
        <v>159</v>
      </c>
      <c r="B14" s="72" t="n">
        <v>37</v>
      </c>
      <c r="C14" s="222" t="n">
        <v>6.48</v>
      </c>
      <c r="D14" s="72" t="n">
        <v>2</v>
      </c>
      <c r="E14" s="222" t="n">
        <v>17.5</v>
      </c>
      <c r="F14" s="223" t="n">
        <f aca="false">(E14*$C$15*60000)/B14</f>
        <v>2837.83783783784</v>
      </c>
    </row>
    <row r="15" customFormat="false" ht="12.8" hidden="false" customHeight="false" outlineLevel="0" collapsed="false">
      <c r="B15" s="110" t="s">
        <v>166</v>
      </c>
      <c r="C15" s="23" t="n">
        <v>0.1</v>
      </c>
    </row>
    <row r="16" customFormat="false" ht="12.8" hidden="false" customHeight="false" outlineLevel="0" collapsed="false">
      <c r="B16" s="110" t="s">
        <v>161</v>
      </c>
      <c r="C16" s="23" t="n">
        <v>7</v>
      </c>
    </row>
  </sheetData>
  <mergeCells count="2">
    <mergeCell ref="A1:F1"/>
    <mergeCell ref="A10:F1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459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2026-05-19T17:25:21Z</dcterms:modified>
  <cp:revision>123</cp:revision>
  <dc:subject/>
  <dc:title/>
</cp:coreProperties>
</file>