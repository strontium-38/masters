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racterizacao" sheetId="1" state="visible" r:id="rId3"/>
    <sheet name="COV" sheetId="2" state="visible" r:id="rId4"/>
    <sheet name="COV_3" sheetId="3" state="visible" r:id="rId5"/>
    <sheet name="Calibracao Bombas" sheetId="4" state="visible" r:id="rId6"/>
    <sheet name="Nutrientes" sheetId="5" state="visible" r:id="rId7"/>
    <sheet name="Alcalinidade-AGV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<sst xmlns="http://schemas.openxmlformats.org/spreadsheetml/2006/main" count="495" uniqueCount="170">
  <si>
    <t xml:space="preserve">Determinacao densidade</t>
  </si>
  <si>
    <t xml:space="preserve">Amostra</t>
  </si>
  <si>
    <t xml:space="preserve">m0 (g)</t>
  </si>
  <si>
    <t xml:space="preserve">m1 (g)</t>
  </si>
  <si>
    <t xml:space="preserve">m1 - m0 (g)</t>
  </si>
  <si>
    <t xml:space="preserve">V (L)</t>
  </si>
  <si>
    <t xml:space="preserve">m2 (g)</t>
  </si>
  <si>
    <t xml:space="preserve">m2 – m0 (g)</t>
  </si>
  <si>
    <t xml:space="preserve">densidade (g/L)</t>
  </si>
  <si>
    <t xml:space="preserve">densidade padrao (g/L)</t>
  </si>
  <si>
    <t xml:space="preserve">RA</t>
  </si>
  <si>
    <t xml:space="preserve">GL</t>
  </si>
  <si>
    <t xml:space="preserve">Inoculo</t>
  </si>
  <si>
    <t xml:space="preserve">Densidade agua (g/L)</t>
  </si>
  <si>
    <t xml:space="preserve">Determinacao de Solidos</t>
  </si>
  <si>
    <t xml:space="preserve">m sub (g)</t>
  </si>
  <si>
    <t xml:space="preserve">V sub (L)</t>
  </si>
  <si>
    <t xml:space="preserve">TS (g/L)</t>
  </si>
  <si>
    <t xml:space="preserve">media TS (g/L)</t>
  </si>
  <si>
    <t xml:space="preserve">TS %</t>
  </si>
  <si>
    <t xml:space="preserve">media TS %</t>
  </si>
  <si>
    <t xml:space="preserve">m3 (g)</t>
  </si>
  <si>
    <t xml:space="preserve">VS (g/L)</t>
  </si>
  <si>
    <t xml:space="preserve">media VS (g/L)</t>
  </si>
  <si>
    <t xml:space="preserve">VS %</t>
  </si>
  <si>
    <t xml:space="preserve">media VS %</t>
  </si>
  <si>
    <t xml:space="preserve">FS (g/L)</t>
  </si>
  <si>
    <t xml:space="preserve">media FS (g/L)</t>
  </si>
  <si>
    <t xml:space="preserve">FS %</t>
  </si>
  <si>
    <t xml:space="preserve">media FS %</t>
  </si>
  <si>
    <t xml:space="preserve">Resultado TOC</t>
  </si>
  <si>
    <t xml:space="preserve">TOC (mg/L)</t>
  </si>
  <si>
    <t xml:space="preserve">TC (mg/L)</t>
  </si>
  <si>
    <t xml:space="preserve">IC (mg/L)</t>
  </si>
  <si>
    <t xml:space="preserve">TN (mg/L)</t>
  </si>
  <si>
    <t xml:space="preserve">diluicao</t>
  </si>
  <si>
    <t xml:space="preserve">media TC (mg/L)</t>
  </si>
  <si>
    <t xml:space="preserve">media IC (mg/L)</t>
  </si>
  <si>
    <t xml:space="preserve">media TN (mg/L)</t>
  </si>
  <si>
    <t xml:space="preserve">Substrato</t>
  </si>
  <si>
    <t xml:space="preserve">Densidade (g/L)</t>
  </si>
  <si>
    <t xml:space="preserve">TC (g/L)</t>
  </si>
  <si>
    <t xml:space="preserve">TN (g/L)</t>
  </si>
  <si>
    <t xml:space="preserve">Sub 1</t>
  </si>
  <si>
    <t xml:space="preserve">Sub 2</t>
  </si>
  <si>
    <t xml:space="preserve">GL – BIO</t>
  </si>
  <si>
    <t xml:space="preserve">GL – PURO</t>
  </si>
  <si>
    <t xml:space="preserve">Diluicao</t>
  </si>
  <si>
    <t xml:space="preserve">Densidade ajustada (g/L)</t>
  </si>
  <si>
    <t xml:space="preserve">TC ajustado (g/L)</t>
  </si>
  <si>
    <t xml:space="preserve">Glucose</t>
  </si>
  <si>
    <t xml:space="preserve">TN ajustado (g/L)</t>
  </si>
  <si>
    <t xml:space="preserve">TS ajustado (g/L)</t>
  </si>
  <si>
    <t xml:space="preserve">VS ajustado (g/L)</t>
  </si>
  <si>
    <t xml:space="preserve">C/N Calculation</t>
  </si>
  <si>
    <t xml:space="preserve">Proporcao</t>
  </si>
  <si>
    <t xml:space="preserve">C</t>
  </si>
  <si>
    <t xml:space="preserve">N</t>
  </si>
  <si>
    <t xml:space="preserve">Volume Ratio Parts</t>
  </si>
  <si>
    <t xml:space="preserve">C/N</t>
  </si>
  <si>
    <t xml:space="preserve">Volume Ratio (L)</t>
  </si>
  <si>
    <t xml:space="preserve">-</t>
  </si>
  <si>
    <t xml:space="preserve">Volume (L)</t>
  </si>
  <si>
    <t xml:space="preserve">From V Ratio (L)</t>
  </si>
  <si>
    <t xml:space="preserve">Volume (mL)</t>
  </si>
  <si>
    <t xml:space="preserve">Quantidade Carbono (g)</t>
  </si>
  <si>
    <t xml:space="preserve">Concentracao Carbono (g/L)</t>
  </si>
  <si>
    <t xml:space="preserve">Mistura </t>
  </si>
  <si>
    <t xml:space="preserve">Calculo ST e SV</t>
  </si>
  <si>
    <t xml:space="preserve">Mass (g)</t>
  </si>
  <si>
    <t xml:space="preserve">Total Mass (g)</t>
  </si>
  <si>
    <t xml:space="preserve">TS (g)</t>
  </si>
  <si>
    <t xml:space="preserve">VS (g)</t>
  </si>
  <si>
    <t xml:space="preserve">VS/TS</t>
  </si>
  <si>
    <t xml:space="preserve">TS % Alvo</t>
  </si>
  <si>
    <t xml:space="preserve">TS % Ratio</t>
  </si>
  <si>
    <t xml:space="preserve">VS diluido (g)</t>
  </si>
  <si>
    <t xml:space="preserve">VS diluido (g/L)</t>
  </si>
  <si>
    <t xml:space="preserve">Calculo COV</t>
  </si>
  <si>
    <t xml:space="preserve">Reator</t>
  </si>
  <si>
    <t xml:space="preserve">Volume (m^3)</t>
  </si>
  <si>
    <t xml:space="preserve">Tempo Retencao (d)</t>
  </si>
  <si>
    <t xml:space="preserve">Fluxo (L/d)</t>
  </si>
  <si>
    <t xml:space="preserve">COV Alvo</t>
  </si>
  <si>
    <t xml:space="preserve">Reator Pequeno 1 </t>
  </si>
  <si>
    <t xml:space="preserve">Reator Pequeno 2</t>
  </si>
  <si>
    <t xml:space="preserve">Reator Grande</t>
  </si>
  <si>
    <t xml:space="preserve">VS (g/d)</t>
  </si>
  <si>
    <t xml:space="preserve">VS (Kg/d)</t>
  </si>
  <si>
    <t xml:space="preserve">COV (Kg SV/m³ d)</t>
  </si>
  <si>
    <t xml:space="preserve">COV Ratio</t>
  </si>
  <si>
    <t xml:space="preserve">TS % diluido</t>
  </si>
  <si>
    <t xml:space="preserve">Calculo para montar a solucao</t>
  </si>
  <si>
    <t xml:space="preserve">Diluicao TS</t>
  </si>
  <si>
    <t xml:space="preserve">Proporcao Sub</t>
  </si>
  <si>
    <t xml:space="preserve">Volume Sub (mL)</t>
  </si>
  <si>
    <t xml:space="preserve">g</t>
  </si>
  <si>
    <t xml:space="preserve">Diluicao COV</t>
  </si>
  <si>
    <t xml:space="preserve">COV</t>
  </si>
  <si>
    <t xml:space="preserve">Volumes (L)</t>
  </si>
  <si>
    <t xml:space="preserve">Sub 3</t>
  </si>
  <si>
    <t xml:space="preserve">Multiplicador (g/L)</t>
  </si>
  <si>
    <t xml:space="preserve">Value (g/L)</t>
  </si>
  <si>
    <t xml:space="preserve">Mistura</t>
  </si>
  <si>
    <t xml:space="preserve">bomba grande A</t>
  </si>
  <si>
    <t xml:space="preserve">mL/min</t>
  </si>
  <si>
    <t xml:space="preserve">rpm</t>
  </si>
  <si>
    <t xml:space="preserve">volume (mL)</t>
  </si>
  <si>
    <t xml:space="preserve">bomba pequena</t>
  </si>
  <si>
    <t xml:space="preserve">Diogenes</t>
  </si>
  <si>
    <t xml:space="preserve">bomba grande B</t>
  </si>
  <si>
    <t xml:space="preserve">bomba grande C</t>
  </si>
  <si>
    <t xml:space="preserve">Verena entrada</t>
  </si>
  <si>
    <t xml:space="preserve">medido em 30 s</t>
  </si>
  <si>
    <t xml:space="preserve">Verena saida</t>
  </si>
  <si>
    <t xml:space="preserve">verena</t>
  </si>
  <si>
    <t xml:space="preserve">reator diogenes</t>
  </si>
  <si>
    <t xml:space="preserve">reator pequeno</t>
  </si>
  <si>
    <t xml:space="preserve">reator grande</t>
  </si>
  <si>
    <t xml:space="preserve">quant ativacoes</t>
  </si>
  <si>
    <t xml:space="preserve">tempo rentencao (dia)</t>
  </si>
  <si>
    <t xml:space="preserve">tempo ativacao (min)</t>
  </si>
  <si>
    <t xml:space="preserve">volume/dia (mL)</t>
  </si>
  <si>
    <t xml:space="preserve">volume/ativacao (mL)</t>
  </si>
  <si>
    <t xml:space="preserve">volume/minuto (mL)</t>
  </si>
  <si>
    <t xml:space="preserve">curva bomba a</t>
  </si>
  <si>
    <t xml:space="preserve">Curva 2 bomba a</t>
  </si>
  <si>
    <t xml:space="preserve">Nutrientes</t>
  </si>
  <si>
    <t xml:space="preserve">Mass (mg/350ml)</t>
  </si>
  <si>
    <t xml:space="preserve">Adição (mg/L)</t>
  </si>
  <si>
    <t xml:space="preserve">Adição (g/L)</t>
  </si>
  <si>
    <t xml:space="preserve">X100 (g/L)</t>
  </si>
  <si>
    <t xml:space="preserve">X1000 (g/L)</t>
  </si>
  <si>
    <t xml:space="preserve">X2000 (g/L)</t>
  </si>
  <si>
    <t xml:space="preserve">Código</t>
  </si>
  <si>
    <t xml:space="preserve">MgSO4.7H2O</t>
  </si>
  <si>
    <t xml:space="preserve">5.5.1</t>
  </si>
  <si>
    <t xml:space="preserve">FeSO4.7H2O</t>
  </si>
  <si>
    <t xml:space="preserve">5.4.1</t>
  </si>
  <si>
    <t xml:space="preserve">CoCl2.6H2O</t>
  </si>
  <si>
    <t xml:space="preserve">2.5.4</t>
  </si>
  <si>
    <t xml:space="preserve">ZnCl2</t>
  </si>
  <si>
    <t xml:space="preserve">sem num</t>
  </si>
  <si>
    <t xml:space="preserve">NiCl2.6H2O</t>
  </si>
  <si>
    <t xml:space="preserve">2.5.8</t>
  </si>
  <si>
    <t xml:space="preserve">EDTA</t>
  </si>
  <si>
    <t xml:space="preserve">1.2.1</t>
  </si>
  <si>
    <t xml:space="preserve">CuSO4.5H2O</t>
  </si>
  <si>
    <t xml:space="preserve">5.3.1</t>
  </si>
  <si>
    <t xml:space="preserve">mL</t>
  </si>
  <si>
    <t xml:space="preserve">g/L</t>
  </si>
  <si>
    <t xml:space="preserve">1X </t>
  </si>
  <si>
    <t xml:space="preserve">100X</t>
  </si>
  <si>
    <t xml:space="preserve">1000X</t>
  </si>
  <si>
    <t xml:space="preserve">2000X </t>
  </si>
  <si>
    <t xml:space="preserve">Dados</t>
  </si>
  <si>
    <t xml:space="preserve">Calculo Alcalinidade</t>
  </si>
  <si>
    <t xml:space="preserve">Calculo AGV</t>
  </si>
  <si>
    <t xml:space="preserve">Data</t>
  </si>
  <si>
    <t xml:space="preserve">volume amostra (mL)</t>
  </si>
  <si>
    <t xml:space="preserve">pH inicial</t>
  </si>
  <si>
    <t xml:space="preserve">Volume Acido (mL)</t>
  </si>
  <si>
    <t xml:space="preserve">Alcalinidade (mg CaCO3/L)</t>
  </si>
  <si>
    <t xml:space="preserve">N acido</t>
  </si>
  <si>
    <t xml:space="preserve">Volume Base (mL)</t>
  </si>
  <si>
    <t xml:space="preserve">AGV (mg CH3COOH/L)</t>
  </si>
  <si>
    <t xml:space="preserve">N base</t>
  </si>
  <si>
    <t xml:space="preserve">AGV/Alcalinidade</t>
  </si>
  <si>
    <t xml:space="preserve">22/05/2026</t>
  </si>
  <si>
    <t xml:space="preserve">26/05/2026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</si>
</sst>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0"/>
    <numFmt numFmtId="166" formatCode="hh:mm:ss\ AM/PM"/>
    <numFmt numFmtId="167" formatCode="0.00000"/>
    <numFmt numFmtId="168" formatCode="0"/>
    <numFmt numFmtId="169" formatCode="0.000000"/>
    <numFmt numFmtId="170" formatCode="0.00000000"/>
    <numFmt numFmtId="171" formatCode="0.000000000"/>
    <numFmt numFmtId="172" formatCode="0.0000000"/>
    <numFmt numFmtId="173" formatCode="mm/dd/yy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0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 val="true"/>
      <sz val="11"/>
      <color theme="1"/>
      <name val="Calibri"/>
      <family val="0"/>
    </font>
  </fonts>
  <fills count="16">
    <fill>
      <patternFill patternType="none"/>
    </fill>
    <fill>
      <patternFill patternType="gray125"/>
    </fill>
    <fill>
      <patternFill patternType="solid">
        <fgColor rgb="FFAFD095"/>
        <bgColor rgb="FFB3CAC7"/>
      </patternFill>
    </fill>
    <fill>
      <patternFill patternType="solid">
        <fgColor rgb="FFFFFFA6"/>
        <bgColor rgb="FFE8F2A1"/>
      </patternFill>
    </fill>
    <fill>
      <patternFill patternType="solid">
        <fgColor rgb="FFB4C7DC"/>
        <bgColor rgb="FFB3CAC7"/>
      </patternFill>
    </fill>
    <fill>
      <patternFill patternType="solid">
        <fgColor rgb="FFB7B3CA"/>
        <bgColor rgb="FFB3B3B3"/>
      </patternFill>
    </fill>
    <fill>
      <patternFill patternType="solid">
        <fgColor rgb="FFB3CAC7"/>
        <bgColor rgb="FFB4C7DC"/>
      </patternFill>
    </fill>
    <fill>
      <patternFill patternType="solid">
        <fgColor rgb="FF8E86AE"/>
        <bgColor rgb="FF729FCF"/>
      </patternFill>
    </fill>
    <fill>
      <patternFill patternType="solid">
        <fgColor rgb="FF81ACA6"/>
        <bgColor rgb="FF729FCF"/>
      </patternFill>
    </fill>
    <fill>
      <patternFill patternType="solid">
        <fgColor rgb="FF729FCF"/>
        <bgColor rgb="FF81ACA6"/>
      </patternFill>
    </fill>
    <fill>
      <patternFill patternType="solid">
        <fgColor rgb="FF3465A4"/>
        <bgColor rgb="FF3366FF"/>
      </patternFill>
    </fill>
    <fill>
      <patternFill patternType="solid">
        <fgColor rgb="FFBF819E"/>
        <bgColor rgb="FF8E86AE"/>
      </patternFill>
    </fill>
    <fill>
      <patternFill patternType="solid">
        <fgColor rgb="FFE8F2A1"/>
        <bgColor rgb="FFFFFFA6"/>
      </patternFill>
    </fill>
    <fill>
      <patternFill patternType="solid">
        <fgColor rgb="FFA1467E"/>
        <bgColor rgb="FF993366"/>
      </patternFill>
    </fill>
    <fill>
      <patternFill patternType="solid">
        <fgColor rgb="FF77BC65"/>
        <bgColor rgb="FF81ACA6"/>
      </patternFill>
    </fill>
    <fill>
      <patternFill patternType="solid">
        <fgColor rgb="FFD4EA6B"/>
        <bgColor rgb="FFE8F2A1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2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6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11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13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3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3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6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BF819E"/>
      <rgbColor rgb="FF729FCF"/>
      <rgbColor rgb="FFA1467E"/>
      <rgbColor rgb="FFE8F2A1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FFFFA6"/>
      <rgbColor rgb="FFB3B3B3"/>
      <rgbColor rgb="FFFF99CC"/>
      <rgbColor rgb="FFB7B3CA"/>
      <rgbColor rgb="FFAFD095"/>
      <rgbColor rgb="FF3366FF"/>
      <rgbColor rgb="FF33CCCC"/>
      <rgbColor rgb="FF77BC65"/>
      <rgbColor rgb="FFFFCC00"/>
      <rgbColor rgb="FFFF9900"/>
      <rgbColor rgb="FFFF6600"/>
      <rgbColor rgb="FF3465A4"/>
      <rgbColor rgb="FF8E86AE"/>
      <rgbColor rgb="FF004586"/>
      <rgbColor rgb="FF81ACA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Bombas'!$M$1</c:f>
              <c:strCache>
                <c:ptCount val="1"/>
                <c:pt idx="0">
                  <c:v>volume (mL)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Bombas'!$L$2:$L$12</c:f>
              <c:numCache>
                <c:formatCode>General</c:formatCode>
                <c:ptCount val="1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50</c:v>
                </c:pt>
                <c:pt idx="7">
                  <c:v>80</c:v>
                </c:pt>
                <c:pt idx="8">
                  <c:v>100</c:v>
                </c:pt>
                <c:pt idx="9">
                  <c:v>120</c:v>
                </c:pt>
                <c:pt idx="10">
                  <c:v>200</c:v>
                </c:pt>
              </c:numCache>
            </c:numRef>
          </c:xVal>
          <c:yVal>
            <c:numRef>
              <c:f>'Calibracao Bombas'!$M$2:$M$12</c:f>
              <c:numCache>
                <c:formatCode>General</c:formatCode>
                <c:ptCount val="11"/>
                <c:pt idx="0">
                  <c:v>1.5</c:v>
                </c:pt>
                <c:pt idx="1">
                  <c:v>4</c:v>
                </c:pt>
                <c:pt idx="2">
                  <c:v>8.9</c:v>
                </c:pt>
                <c:pt idx="3">
                  <c:v>13.3</c:v>
                </c:pt>
                <c:pt idx="4">
                  <c:v>17.5</c:v>
                </c:pt>
                <c:pt idx="5">
                  <c:v>26</c:v>
                </c:pt>
                <c:pt idx="6">
                  <c:v>44</c:v>
                </c:pt>
                <c:pt idx="7">
                  <c:v>69</c:v>
                </c:pt>
                <c:pt idx="8">
                  <c:v>87</c:v>
                </c:pt>
                <c:pt idx="9">
                  <c:v>104</c:v>
                </c:pt>
                <c:pt idx="10">
                  <c:v>168</c:v>
                </c:pt>
              </c:numCache>
            </c:numRef>
          </c:yVal>
          <c:smooth val="0"/>
        </c:ser>
        <c:axId val="58152670"/>
        <c:axId val="38320582"/>
      </c:scatterChart>
      <c:valAx>
        <c:axId val="5815267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8320582"/>
        <c:crosses val="autoZero"/>
        <c:crossBetween val="midCat"/>
      </c:valAx>
      <c:valAx>
        <c:axId val="3832058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815267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Bombas'!$D$1</c:f>
              <c:strCache>
                <c:ptCount val="1"/>
                <c:pt idx="0">
                  <c:v>volume (mL)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Bombas'!$C$2:$C$12</c:f>
              <c:numCache>
                <c:formatCode>0.0000</c:formatCode>
                <c:ptCount val="11"/>
                <c:pt idx="0">
                  <c:v>0.1</c:v>
                </c:pt>
                <c:pt idx="1">
                  <c:v>0.128</c:v>
                </c:pt>
                <c:pt idx="2">
                  <c:v>0.16</c:v>
                </c:pt>
                <c:pt idx="3">
                  <c:v>0.191</c:v>
                </c:pt>
                <c:pt idx="4">
                  <c:v>0.239</c:v>
                </c:pt>
                <c:pt idx="5">
                  <c:v>0.255</c:v>
                </c:pt>
                <c:pt idx="6">
                  <c:v>0.287</c:v>
                </c:pt>
                <c:pt idx="7">
                  <c:v>0.319</c:v>
                </c:pt>
                <c:pt idx="8">
                  <c:v>0.399</c:v>
                </c:pt>
                <c:pt idx="9">
                  <c:v>0.479</c:v>
                </c:pt>
                <c:pt idx="10">
                  <c:v>0.559</c:v>
                </c:pt>
              </c:numCache>
            </c:numRef>
          </c:xVal>
          <c:yVal>
            <c:numRef>
              <c:f>'Calibracao Bombas'!$D$2:$D$12</c:f>
              <c:numCache>
                <c:formatCode>0.0000</c:formatCode>
                <c:ptCount val="11"/>
                <c:pt idx="0">
                  <c:v>0.3</c:v>
                </c:pt>
                <c:pt idx="1">
                  <c:v>0.4</c:v>
                </c:pt>
                <c:pt idx="2">
                  <c:v>0.45</c:v>
                </c:pt>
                <c:pt idx="3">
                  <c:v>0.59</c:v>
                </c:pt>
                <c:pt idx="4">
                  <c:v>0.67</c:v>
                </c:pt>
                <c:pt idx="5">
                  <c:v>0.92</c:v>
                </c:pt>
                <c:pt idx="6">
                  <c:v>1.14</c:v>
                </c:pt>
                <c:pt idx="7">
                  <c:v>1.16</c:v>
                </c:pt>
                <c:pt idx="8">
                  <c:v>1.35</c:v>
                </c:pt>
                <c:pt idx="9">
                  <c:v>1.43</c:v>
                </c:pt>
                <c:pt idx="10">
                  <c:v>1.67</c:v>
                </c:pt>
              </c:numCache>
            </c:numRef>
          </c:yVal>
          <c:smooth val="0"/>
        </c:ser>
        <c:axId val="8103651"/>
        <c:axId val="89490754"/>
      </c:scatterChart>
      <c:valAx>
        <c:axId val="81036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9490754"/>
        <c:crosses val="autoZero"/>
        <c:crossBetween val="midCat"/>
      </c:valAx>
      <c:valAx>
        <c:axId val="894907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10365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Bombas'!$D$25</c:f>
              <c:strCache>
                <c:ptCount val="1"/>
                <c:pt idx="0">
                  <c:v>volume (mL)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Bombas'!$C$26:$C$36</c:f>
              <c:numCache>
                <c:formatCode>0.0000</c:formatCode>
                <c:ptCount val="11"/>
                <c:pt idx="0">
                  <c:v>0.67</c:v>
                </c:pt>
                <c:pt idx="1">
                  <c:v>0.837</c:v>
                </c:pt>
                <c:pt idx="2">
                  <c:v>0.938</c:v>
                </c:pt>
                <c:pt idx="3">
                  <c:v>1.004</c:v>
                </c:pt>
                <c:pt idx="4">
                  <c:v>1.172</c:v>
                </c:pt>
                <c:pt idx="5">
                  <c:v>1.339</c:v>
                </c:pt>
                <c:pt idx="6">
                  <c:v>1.507</c:v>
                </c:pt>
                <c:pt idx="7">
                  <c:v>1.674</c:v>
                </c:pt>
                <c:pt idx="8">
                  <c:v>1.842</c:v>
                </c:pt>
                <c:pt idx="9">
                  <c:v>2.009</c:v>
                </c:pt>
                <c:pt idx="10">
                  <c:v>2.176</c:v>
                </c:pt>
              </c:numCache>
            </c:numRef>
          </c:xVal>
          <c:yVal>
            <c:numRef>
              <c:f>'Calibracao Bombas'!$D$26:$D$36</c:f>
              <c:numCache>
                <c:formatCode>0.0000</c:formatCode>
                <c:ptCount val="11"/>
                <c:pt idx="0">
                  <c:v>1.8</c:v>
                </c:pt>
                <c:pt idx="1">
                  <c:v>2.4</c:v>
                </c:pt>
                <c:pt idx="2">
                  <c:v>3</c:v>
                </c:pt>
                <c:pt idx="3">
                  <c:v>3.2</c:v>
                </c:pt>
                <c:pt idx="4">
                  <c:v>3.6</c:v>
                </c:pt>
                <c:pt idx="5">
                  <c:v>4.2</c:v>
                </c:pt>
                <c:pt idx="6">
                  <c:v>4.8</c:v>
                </c:pt>
                <c:pt idx="7">
                  <c:v>5.4</c:v>
                </c:pt>
                <c:pt idx="8">
                  <c:v>6</c:v>
                </c:pt>
                <c:pt idx="9">
                  <c:v>6.4</c:v>
                </c:pt>
                <c:pt idx="10">
                  <c:v>7.2</c:v>
                </c:pt>
              </c:numCache>
            </c:numRef>
          </c:yVal>
          <c:smooth val="0"/>
        </c:ser>
        <c:axId val="68796664"/>
        <c:axId val="37348350"/>
      </c:scatterChart>
      <c:valAx>
        <c:axId val="687966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7348350"/>
        <c:crosses val="autoZero"/>
        <c:crossBetween val="midCat"/>
      </c:valAx>
      <c:valAx>
        <c:axId val="373483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879666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Bombas'!$K$25</c:f>
              <c:strCache>
                <c:ptCount val="1"/>
                <c:pt idx="0">
                  <c:v>mL/min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Bombas'!$J$26:$J$36</c:f>
              <c:numCache>
                <c:formatCode>General</c:formatCode>
                <c:ptCount val="11"/>
              </c:numCache>
            </c:numRef>
          </c:xVal>
          <c:yVal>
            <c:numRef>
              <c:f>'Calibracao Bombas'!$K$26:$K$36</c:f>
              <c:numCache>
                <c:formatCode>0.0000</c:formatCode>
                <c:ptCount val="11"/>
                <c:pt idx="0">
                  <c:v>1</c:v>
                </c:pt>
                <c:pt idx="1">
                  <c:v>1.5</c:v>
                </c:pt>
                <c:pt idx="2">
                  <c:v>1.8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</c:numCache>
            </c:numRef>
          </c:yVal>
          <c:smooth val="0"/>
        </c:ser>
        <c:axId val="53946715"/>
        <c:axId val="64096431"/>
      </c:scatterChart>
      <c:valAx>
        <c:axId val="539467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4096431"/>
        <c:crosses val="autoZero"/>
        <c:crossBetween val="midCat"/>
      </c:valAx>
      <c:valAx>
        <c:axId val="640964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394671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184320</xdr:colOff>
      <xdr:row>0</xdr:row>
      <xdr:rowOff>0</xdr:rowOff>
    </xdr:from>
    <xdr:to>
      <xdr:col>24</xdr:col>
      <xdr:colOff>553320</xdr:colOff>
      <xdr:row>76</xdr:row>
      <xdr:rowOff>85320</xdr:rowOff>
    </xdr:to>
    <xdr:sp>
      <xdr:nvSpPr>
        <xdr:cNvPr id="1" name="CaixaDeTexto 5"/>
        <xdr:cNvSpPr/>
      </xdr:nvSpPr>
      <xdr:spPr>
        <a:xfrm>
          <a:off x="17039880" y="0"/>
          <a:ext cx="6871320" cy="12477960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Equação C/N Modificada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Ref: Response Surface Methodology to Optimize Methane Production from Mesophilic Anaerobic Co-Digestion of Oily-Biological Sludge and Sugarcane Bagasse;  Aiban Abdulhakim Saeed Ghaleb et. al.; Sustainability 2020, 12, 2116; doi:10.3390/su12052116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 = [𝑄1(𝐶1*(100−𝑀1)+𝑄2(𝐶2*(100−𝑀2)] / [𝑄1(𝑁1*(100−𝑀1)+𝑄2(𝑁2*(100−𝑀2)]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R= C/N ratio;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Q1, Q2= mass of materials “as is” or wet weight;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C1, C2= carbon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N1, N2= nitrogen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M1, M2= moisture content of materials.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C×(100−M) = TC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N×(100−M) = TN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R​ = [TC1*​V1​+TC2*​V2​+…​] / [TN1​*V1​+TN2*​V2​+…]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TC1*​V1​+TC2*​V2​=R(TN1*​V1​+TN2*​V2​)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TC1*​V1​−R*​TN1*​V1​=R*​TN2*​V2​−TC2*​V2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V1​(TC1​−R*​TN1​)=V2​(R*​TN2​−TC2​)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V1/V2 = [R*TN2-TC2] / [TC1-R*TN1]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V1/V2 = VR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 = VR*V2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V2 = V1/VR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460440</xdr:colOff>
      <xdr:row>0</xdr:row>
      <xdr:rowOff>0</xdr:rowOff>
    </xdr:from>
    <xdr:to>
      <xdr:col>26</xdr:col>
      <xdr:colOff>16560</xdr:colOff>
      <xdr:row>116</xdr:row>
      <xdr:rowOff>28800</xdr:rowOff>
    </xdr:to>
    <xdr:sp>
      <xdr:nvSpPr>
        <xdr:cNvPr id="2" name="CaixaDeTexto 5"/>
        <xdr:cNvSpPr/>
      </xdr:nvSpPr>
      <xdr:spPr>
        <a:xfrm>
          <a:off x="18587160" y="0"/>
          <a:ext cx="6871320" cy="18923760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Equação C/N Modificada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Ref: Response Surface Methodology to Optimize Methane Production from Mesophilic Anaerobic Co-Digestion of Oily-Biological Sludge and Sugarcane Bagasse;  Aiban Abdulhakim Saeed Ghaleb et. al.; Sustainability 2020, 12, 2116; doi:10.3390/su12052116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 = [𝑄1(𝐶1*(100−𝑀1)+𝑄2(𝐶2*(100−𝑀2)] / [𝑄1(𝑁1*(100−𝑀1)+𝑄2(𝑁2*(100−𝑀2)]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R= C/N ratio;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Q1, Q2= mass of materials “as is” or wet weight;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C1, C2= carbon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N1, N2= nitrogen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M1, M2= moisture content of materials.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C×(100−M) = TC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N×(100−M) = TN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R​ = [TC1*​V1​+TC2*​V2​+TC3*V3+...] / [TN1​*V1​+TN2*​V2​+TN3*V3+...]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TC1*​V1​+TC2*​V2​+TC3*V3=R(TN1*​V1​+TN2*​V2​+TN3*V3)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TC1*V1+TC2*V2+TC3*V3=R*TN1*V1+R*TN2*V2+R*TN3*V3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TC1*V1+TC2*V2+TC3*V3 – R*TN1*V1-R*TN2*V2-R*TN3*V3 = 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V1(TC1-R*TN1)+V2(TC2-R*TN2)+V3(TC3-R*TN3)=0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L=TC-R*TN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V1*L1+V2*L2+V3*L3=0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Vt = V1 + V2 + V3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Know 2 V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X=V1*L1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Y=V2*L2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X+Y=-V3*L3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V3=(X-Y)/L3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Know Vt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V1*L1+V2*L2+V3*L3=0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V3=Vt-V1-V2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V1*L1+V2*L2+(Vt-V1-V2)*L3=0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V1*L1+V2*L2=-(Vt-V1-V2)*L3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V1*L1+V2*L2=-Vt*L3+V1*L3+V2*L3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V1*L1=-Vt*L3+V1*L3+V2*L3-V2*L2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V1*L1=-Vt*L3+V1*L3+V2(L3-L2)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V1*L1+Vt*L3-V1*L3=V2(L3-L2)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V2=(V1*L1+Vt*L3-V1*L3)/(L3-L2)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V1=(-Vt*L3+V1*L3+V2(L3-L2))/L1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V2=([(-Vt*L3+V1*L3+V2(L3-L2))/L1]*L1+Vt*L3-[(-Vt*L3+V1*L3+V2(L3-L2))/L1]*L3)/(L3-L2)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16920</xdr:colOff>
      <xdr:row>0</xdr:row>
      <xdr:rowOff>0</xdr:rowOff>
    </xdr:from>
    <xdr:to>
      <xdr:col>19</xdr:col>
      <xdr:colOff>312480</xdr:colOff>
      <xdr:row>20</xdr:row>
      <xdr:rowOff>29520</xdr:rowOff>
    </xdr:to>
    <xdr:graphicFrame>
      <xdr:nvGraphicFramePr>
        <xdr:cNvPr id="3" name="Gráfico 1"/>
        <xdr:cNvGraphicFramePr/>
      </xdr:nvGraphicFramePr>
      <xdr:xfrm>
        <a:off x="15562440" y="0"/>
        <a:ext cx="5172120" cy="328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21600</xdr:colOff>
      <xdr:row>0</xdr:row>
      <xdr:rowOff>0</xdr:rowOff>
    </xdr:from>
    <xdr:to>
      <xdr:col>8</xdr:col>
      <xdr:colOff>411480</xdr:colOff>
      <xdr:row>19</xdr:row>
      <xdr:rowOff>135360</xdr:rowOff>
    </xdr:to>
    <xdr:graphicFrame>
      <xdr:nvGraphicFramePr>
        <xdr:cNvPr id="4" name="Gráfico 2"/>
        <xdr:cNvGraphicFramePr/>
      </xdr:nvGraphicFramePr>
      <xdr:xfrm>
        <a:off x="4300200" y="0"/>
        <a:ext cx="5153760" cy="322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25920</xdr:colOff>
      <xdr:row>24</xdr:row>
      <xdr:rowOff>25200</xdr:rowOff>
    </xdr:from>
    <xdr:to>
      <xdr:col>8</xdr:col>
      <xdr:colOff>413640</xdr:colOff>
      <xdr:row>43</xdr:row>
      <xdr:rowOff>160560</xdr:rowOff>
    </xdr:to>
    <xdr:graphicFrame>
      <xdr:nvGraphicFramePr>
        <xdr:cNvPr id="5" name="Gráfico 3"/>
        <xdr:cNvGraphicFramePr/>
      </xdr:nvGraphicFramePr>
      <xdr:xfrm>
        <a:off x="4304520" y="3926520"/>
        <a:ext cx="5151600" cy="322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36000</xdr:colOff>
      <xdr:row>24</xdr:row>
      <xdr:rowOff>23760</xdr:rowOff>
    </xdr:from>
    <xdr:to>
      <xdr:col>19</xdr:col>
      <xdr:colOff>279720</xdr:colOff>
      <xdr:row>43</xdr:row>
      <xdr:rowOff>159840</xdr:rowOff>
    </xdr:to>
    <xdr:graphicFrame>
      <xdr:nvGraphicFramePr>
        <xdr:cNvPr id="6" name="Gráfico 4"/>
        <xdr:cNvGraphicFramePr/>
      </xdr:nvGraphicFramePr>
      <xdr:xfrm>
        <a:off x="15581520" y="3925080"/>
        <a:ext cx="5120280" cy="3224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799560</xdr:colOff>
      <xdr:row>11</xdr:row>
      <xdr:rowOff>19080</xdr:rowOff>
    </xdr:from>
    <xdr:to>
      <xdr:col>10</xdr:col>
      <xdr:colOff>139320</xdr:colOff>
      <xdr:row>16</xdr:row>
      <xdr:rowOff>101160</xdr:rowOff>
    </xdr:to>
    <xdr:sp>
      <xdr:nvSpPr>
        <xdr:cNvPr id="7" name="CaixaDeTexto 2"/>
        <xdr:cNvSpPr/>
      </xdr:nvSpPr>
      <xdr:spPr>
        <a:xfrm>
          <a:off x="7455600" y="1807200"/>
          <a:ext cx="4083840" cy="894960"/>
        </a:xfrm>
        <a:prstGeom prst="rect">
          <a:avLst/>
        </a:prstGeom>
        <a:solidFill>
          <a:schemeClr val="lt1"/>
        </a:solidFill>
        <a:ln w="9360">
          <a:solidFill>
            <a:schemeClr val="lt1">
              <a:shade val="50000"/>
            </a:schemeClr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acido sulfurico até atingir pH 4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Quantidade de acido gasto representa a alcalinidade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acido até 3,3 para remover CO2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 - </a:t>
          </a:r>
          <a:r>
            <a:rPr lang="pt-BR" sz="1100" b="1" u="none" strike="noStrike">
              <a:solidFill>
                <a:schemeClr val="dk1"/>
              </a:solidFill>
              <a:effectLst/>
              <a:uFillTx/>
              <a:latin typeface="Calibri"/>
            </a:rPr>
            <a:t>Uso de ultra-som por 10 minutos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163440</xdr:colOff>
      <xdr:row>10</xdr:row>
      <xdr:rowOff>152640</xdr:rowOff>
    </xdr:from>
    <xdr:to>
      <xdr:col>5</xdr:col>
      <xdr:colOff>427680</xdr:colOff>
      <xdr:row>14</xdr:row>
      <xdr:rowOff>140400</xdr:rowOff>
    </xdr:to>
    <xdr:sp>
      <xdr:nvSpPr>
        <xdr:cNvPr id="8" name="CaixaDeTexto 1"/>
        <xdr:cNvSpPr/>
      </xdr:nvSpPr>
      <xdr:spPr>
        <a:xfrm>
          <a:off x="2196000" y="1778400"/>
          <a:ext cx="4083840" cy="637920"/>
        </a:xfrm>
        <a:prstGeom prst="rect">
          <a:avLst/>
        </a:prstGeom>
        <a:solidFill>
          <a:schemeClr val="lt1"/>
        </a:solidFill>
        <a:ln w="9360">
          <a:solidFill>
            <a:schemeClr val="lt1">
              <a:shade val="50000"/>
            </a:schemeClr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base até pH chegar a 4 novamente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base até pH 7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Quantidade de base gasta do 4 até o 7, representa AGV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4" activeCellId="0" sqref="K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9" min="8" style="0" width="15.06"/>
    <col collapsed="false" customWidth="true" hidden="false" outlineLevel="0" max="10" min="10" style="0" width="19.93"/>
    <col collapsed="false" customWidth="true" hidden="false" outlineLevel="0" max="11" min="11" style="0" width="14.51"/>
    <col collapsed="false" customWidth="true" hidden="false" outlineLevel="0" max="12" min="12" style="0" width="13.68"/>
    <col collapsed="false" customWidth="true" hidden="false" outlineLevel="0" max="13" min="13" style="0" width="15.06"/>
    <col collapsed="false" customWidth="true" hidden="false" outlineLevel="0" max="14" min="14" style="0" width="14.19"/>
    <col collapsed="false" customWidth="true" hidden="false" outlineLevel="0" max="18" min="18" style="0" width="13.91"/>
    <col collapsed="false" customWidth="true" hidden="false" outlineLevel="0" max="19" min="19" style="0" width="12.24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8" hidden="false" customHeight="false" outlineLevel="0" collapsed="false">
      <c r="A2" s="2" t="s">
        <v>1</v>
      </c>
      <c r="B2" s="2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customFormat="false" ht="12.8" hidden="false" customHeight="false" outlineLevel="0" collapsed="false">
      <c r="A3" s="3" t="s">
        <v>10</v>
      </c>
      <c r="B3" s="4" t="n">
        <v>1</v>
      </c>
      <c r="C3" s="5" t="n">
        <v>136</v>
      </c>
      <c r="D3" s="5" t="n">
        <v>235</v>
      </c>
      <c r="E3" s="5" t="n">
        <f aca="false">D3-C3</f>
        <v>99</v>
      </c>
      <c r="F3" s="5" t="n">
        <f aca="false">E3/$C$9</f>
        <v>0.0991775277747167</v>
      </c>
      <c r="G3" s="5" t="n">
        <v>242</v>
      </c>
      <c r="H3" s="5" t="n">
        <f aca="false">G3-C3</f>
        <v>106</v>
      </c>
      <c r="I3" s="5" t="n">
        <f aca="false">H3/F3</f>
        <v>1068.79050505051</v>
      </c>
      <c r="J3" s="6" t="n">
        <f aca="false">MEDIAN(I3:I4)</f>
        <v>1068.43760252525</v>
      </c>
    </row>
    <row r="4" customFormat="false" ht="12.8" hidden="false" customHeight="false" outlineLevel="0" collapsed="false">
      <c r="A4" s="3"/>
      <c r="B4" s="4" t="n">
        <v>2</v>
      </c>
      <c r="C4" s="7" t="n">
        <v>116</v>
      </c>
      <c r="D4" s="7" t="n">
        <v>216</v>
      </c>
      <c r="E4" s="7" t="n">
        <f aca="false">D4-C4</f>
        <v>100</v>
      </c>
      <c r="F4" s="7" t="n">
        <f aca="false">E4/$C$9</f>
        <v>0.100179320984562</v>
      </c>
      <c r="G4" s="7" t="n">
        <v>223</v>
      </c>
      <c r="H4" s="7" t="n">
        <f aca="false">G4-C4</f>
        <v>107</v>
      </c>
      <c r="I4" s="7" t="n">
        <f aca="false">H4/F4</f>
        <v>1068.0847</v>
      </c>
      <c r="J4" s="6"/>
    </row>
    <row r="5" customFormat="false" ht="12.8" hidden="false" customHeight="false" outlineLevel="0" collapsed="false">
      <c r="A5" s="8" t="s">
        <v>11</v>
      </c>
      <c r="B5" s="9" t="n">
        <v>1</v>
      </c>
      <c r="C5" s="10" t="n">
        <v>114.21</v>
      </c>
      <c r="D5" s="10" t="n">
        <v>213.96</v>
      </c>
      <c r="E5" s="10" t="n">
        <f aca="false">D5-C5</f>
        <v>99.75</v>
      </c>
      <c r="F5" s="10" t="n">
        <f aca="false">E5/$C$9</f>
        <v>0.099928872682101</v>
      </c>
      <c r="G5" s="10" t="n">
        <v>203.47</v>
      </c>
      <c r="H5" s="10" t="n">
        <f aca="false">G5-C5</f>
        <v>89.26</v>
      </c>
      <c r="I5" s="10" t="n">
        <f aca="false">H5/F5</f>
        <v>893.23533433584</v>
      </c>
      <c r="J5" s="11" t="n">
        <f aca="false">MEDIAN(I5:I6)</f>
        <v>893.074035663281</v>
      </c>
    </row>
    <row r="6" customFormat="false" ht="12.8" hidden="false" customHeight="false" outlineLevel="0" collapsed="false">
      <c r="A6" s="8"/>
      <c r="B6" s="12" t="n">
        <v>2</v>
      </c>
      <c r="C6" s="13" t="n">
        <v>115.74</v>
      </c>
      <c r="D6" s="13" t="n">
        <v>214.9</v>
      </c>
      <c r="E6" s="13" t="n">
        <f aca="false">D6-C6</f>
        <v>99.16</v>
      </c>
      <c r="F6" s="13" t="n">
        <f aca="false">E6/$C$9</f>
        <v>0.099337814688292</v>
      </c>
      <c r="G6" s="13" t="n">
        <v>204.44</v>
      </c>
      <c r="H6" s="13" t="n">
        <f aca="false">G6-C6</f>
        <v>88.7</v>
      </c>
      <c r="I6" s="13" t="n">
        <f aca="false">H6/F6</f>
        <v>892.912736990722</v>
      </c>
      <c r="J6" s="11"/>
    </row>
    <row r="7" customFormat="false" ht="12.8" hidden="false" customHeight="false" outlineLevel="0" collapsed="false">
      <c r="A7" s="14" t="s">
        <v>12</v>
      </c>
      <c r="B7" s="15" t="n">
        <v>1</v>
      </c>
      <c r="C7" s="16" t="n">
        <v>136</v>
      </c>
      <c r="D7" s="16" t="n">
        <v>235</v>
      </c>
      <c r="E7" s="16" t="n">
        <f aca="false">D7-C7</f>
        <v>99</v>
      </c>
      <c r="F7" s="16" t="n">
        <f aca="false">E7/$C$9</f>
        <v>0.0991775277747167</v>
      </c>
      <c r="G7" s="16" t="n">
        <v>242</v>
      </c>
      <c r="H7" s="16" t="n">
        <f aca="false">G7-C7</f>
        <v>106</v>
      </c>
      <c r="I7" s="16" t="n">
        <f aca="false">H7/F7</f>
        <v>1068.79050505051</v>
      </c>
      <c r="J7" s="17" t="n">
        <f aca="false">MEDIAN(I7:I8)</f>
        <v>1068.43760252525</v>
      </c>
    </row>
    <row r="8" customFormat="false" ht="12.8" hidden="false" customHeight="false" outlineLevel="0" collapsed="false">
      <c r="A8" s="14"/>
      <c r="B8" s="18" t="n">
        <v>2</v>
      </c>
      <c r="C8" s="19" t="n">
        <v>116</v>
      </c>
      <c r="D8" s="19" t="n">
        <v>216</v>
      </c>
      <c r="E8" s="19" t="n">
        <f aca="false">D8-C8</f>
        <v>100</v>
      </c>
      <c r="F8" s="19" t="n">
        <f aca="false">E8/$C$9</f>
        <v>0.100179320984562</v>
      </c>
      <c r="G8" s="19" t="n">
        <v>223</v>
      </c>
      <c r="H8" s="19" t="n">
        <f aca="false">G8-C8</f>
        <v>107</v>
      </c>
      <c r="I8" s="19" t="n">
        <f aca="false">H8/F8</f>
        <v>1068.0847</v>
      </c>
      <c r="J8" s="17"/>
    </row>
    <row r="9" customFormat="false" ht="12.8" hidden="false" customHeight="false" outlineLevel="0" collapsed="false">
      <c r="A9" s="20" t="s">
        <v>13</v>
      </c>
      <c r="B9" s="20"/>
      <c r="C9" s="21" t="n">
        <v>998.21</v>
      </c>
      <c r="D9" s="22"/>
      <c r="E9" s="22"/>
      <c r="F9" s="22"/>
      <c r="G9" s="22"/>
      <c r="H9" s="22"/>
      <c r="I9" s="22"/>
      <c r="J9" s="22"/>
    </row>
    <row r="10" customFormat="false" ht="12.8" hidden="false" customHeight="false" outlineLevel="0" collapsed="false">
      <c r="D10" s="22"/>
      <c r="E10" s="22"/>
      <c r="F10" s="22"/>
      <c r="G10" s="22"/>
      <c r="H10" s="22"/>
      <c r="I10" s="22"/>
      <c r="J10" s="22"/>
    </row>
    <row r="12" customFormat="false" ht="12.8" hidden="false" customHeight="false" outlineLevel="0" collapsed="false">
      <c r="A12" s="23" t="s">
        <v>14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customFormat="false" ht="12.8" hidden="false" customHeight="false" outlineLevel="0" collapsed="false">
      <c r="A13" s="2" t="s">
        <v>1</v>
      </c>
      <c r="B13" s="2"/>
      <c r="C13" s="2" t="s">
        <v>2</v>
      </c>
      <c r="D13" s="2" t="s">
        <v>3</v>
      </c>
      <c r="E13" s="2" t="s">
        <v>15</v>
      </c>
      <c r="F13" s="2" t="s">
        <v>16</v>
      </c>
      <c r="G13" s="2" t="s">
        <v>6</v>
      </c>
      <c r="H13" s="2" t="s">
        <v>17</v>
      </c>
      <c r="I13" s="2" t="s">
        <v>18</v>
      </c>
      <c r="J13" s="2" t="s">
        <v>19</v>
      </c>
      <c r="K13" s="2" t="s">
        <v>20</v>
      </c>
      <c r="L13" s="2" t="s">
        <v>21</v>
      </c>
      <c r="M13" s="2" t="s">
        <v>22</v>
      </c>
      <c r="N13" s="2" t="s">
        <v>23</v>
      </c>
      <c r="O13" s="2" t="s">
        <v>24</v>
      </c>
      <c r="P13" s="2" t="s">
        <v>25</v>
      </c>
      <c r="Q13" s="2" t="s">
        <v>26</v>
      </c>
      <c r="R13" s="2" t="s">
        <v>27</v>
      </c>
      <c r="S13" s="2" t="s">
        <v>28</v>
      </c>
      <c r="T13" s="2" t="s">
        <v>29</v>
      </c>
    </row>
    <row r="14" customFormat="false" ht="12.8" hidden="false" customHeight="false" outlineLevel="0" collapsed="false">
      <c r="A14" s="24" t="s">
        <v>10</v>
      </c>
      <c r="B14" s="25" t="n">
        <v>1</v>
      </c>
      <c r="C14" s="5" t="n">
        <v>78.731</v>
      </c>
      <c r="D14" s="26" t="n">
        <f aca="false">105.9875</f>
        <v>105.9875</v>
      </c>
      <c r="E14" s="5" t="n">
        <f aca="false">D14-C14</f>
        <v>27.2565</v>
      </c>
      <c r="F14" s="5" t="n">
        <f aca="false">E14/$J$3</f>
        <v>0.0255106146915639</v>
      </c>
      <c r="G14" s="26" t="n">
        <v>91.0021</v>
      </c>
      <c r="H14" s="5" t="n">
        <f aca="false">((G14-C14))/(F14)</f>
        <v>481.019377555726</v>
      </c>
      <c r="I14" s="5" t="n">
        <f aca="false">MEDIAN(H14:H16)</f>
        <v>536.39975270356</v>
      </c>
      <c r="J14" s="5" t="n">
        <f aca="false">((G14-C14)*100)/(D14-C14)</f>
        <v>45.0208207216627</v>
      </c>
      <c r="K14" s="5" t="n">
        <f aca="false">MEDIAN(J14:J16)</f>
        <v>50.2041252980781</v>
      </c>
      <c r="L14" s="26" t="n">
        <v>79.2024</v>
      </c>
      <c r="M14" s="5" t="n">
        <f aca="false">(G14-L14)/F14</f>
        <v>462.540794985315</v>
      </c>
      <c r="N14" s="5" t="n">
        <f aca="false">MEDIAN(M14:M16)</f>
        <v>520.806779510477</v>
      </c>
      <c r="O14" s="5" t="n">
        <f aca="false">((G14-L14)*100)/(G14-C14)</f>
        <v>96.1584536023665</v>
      </c>
      <c r="P14" s="5" t="n">
        <f aca="false">MEDIAN(O14:O16)</f>
        <v>96.2398284236423</v>
      </c>
      <c r="Q14" s="5" t="n">
        <f aca="false">(L14-C14)/F14</f>
        <v>18.478582570411</v>
      </c>
      <c r="R14" s="5" t="n">
        <f aca="false">MEDIAN(Q14:Q16)</f>
        <v>18.478582570411</v>
      </c>
      <c r="S14" s="5" t="n">
        <f aca="false">((L14-C14)*100)/(G14-C14)</f>
        <v>3.84154639763349</v>
      </c>
      <c r="T14" s="5" t="n">
        <f aca="false">MEDIAN(S14:S16)</f>
        <v>3.76017157635774</v>
      </c>
    </row>
    <row r="15" customFormat="false" ht="12.8" hidden="false" customHeight="false" outlineLevel="0" collapsed="false">
      <c r="A15" s="24"/>
      <c r="B15" s="4" t="n">
        <v>2</v>
      </c>
      <c r="C15" s="27" t="n">
        <v>84.3206</v>
      </c>
      <c r="D15" s="28" t="n">
        <f aca="false">113.2979</f>
        <v>113.2979</v>
      </c>
      <c r="E15" s="27" t="n">
        <f aca="false">D15-C15</f>
        <v>28.9773</v>
      </c>
      <c r="F15" s="27" t="n">
        <f aca="false">E15/$J$3</f>
        <v>0.027121190728885</v>
      </c>
      <c r="G15" s="28" t="n">
        <v>98.8684</v>
      </c>
      <c r="H15" s="27" t="n">
        <f aca="false">((G15-C15))/(F15)</f>
        <v>536.39975270356</v>
      </c>
      <c r="I15" s="5"/>
      <c r="J15" s="27" t="n">
        <f aca="false">((G15-C15)*100)/(D15-C15)</f>
        <v>50.2041252980781</v>
      </c>
      <c r="K15" s="5"/>
      <c r="L15" s="28" t="n">
        <v>84.7435</v>
      </c>
      <c r="M15" s="27" t="n">
        <f aca="false">(G15-L15)/F15</f>
        <v>520.806779510477</v>
      </c>
      <c r="N15" s="5"/>
      <c r="O15" s="27" t="n">
        <f aca="false">((G15-L15)*100)/(G15-C15)</f>
        <v>97.0930312487112</v>
      </c>
      <c r="P15" s="5"/>
      <c r="Q15" s="27" t="n">
        <f aca="false">(L15-C15)/F15</f>
        <v>15.5929731930831</v>
      </c>
      <c r="R15" s="5"/>
      <c r="S15" s="27" t="n">
        <f aca="false">((L15-C15)*100)/(G15-C15)</f>
        <v>2.90696875128885</v>
      </c>
      <c r="T15" s="5"/>
    </row>
    <row r="16" customFormat="false" ht="12.8" hidden="false" customHeight="false" outlineLevel="0" collapsed="false">
      <c r="A16" s="24"/>
      <c r="B16" s="4" t="n">
        <v>3</v>
      </c>
      <c r="C16" s="27" t="n">
        <v>77.5887</v>
      </c>
      <c r="D16" s="28" t="n">
        <f aca="false">108.8399</f>
        <v>108.8399</v>
      </c>
      <c r="E16" s="27" t="n">
        <f aca="false">D16-C16</f>
        <v>31.2512</v>
      </c>
      <c r="F16" s="27" t="n">
        <f aca="false">E16/$J$3</f>
        <v>0.0292494385504009</v>
      </c>
      <c r="G16" s="28" t="n">
        <v>93.4417</v>
      </c>
      <c r="H16" s="27" t="n">
        <f aca="false">((G16-C16))/(F16)</f>
        <v>541.993309467567</v>
      </c>
      <c r="I16" s="5"/>
      <c r="J16" s="27" t="n">
        <f aca="false">((G16-C16)*100)/(D16-C16)</f>
        <v>50.727652058161</v>
      </c>
      <c r="K16" s="5"/>
      <c r="L16" s="28" t="n">
        <v>78.1848</v>
      </c>
      <c r="M16" s="27" t="n">
        <f aca="false">(G16-L16)/F16</f>
        <v>521.613431099207</v>
      </c>
      <c r="N16" s="5"/>
      <c r="O16" s="27" t="n">
        <f aca="false">((G16-L16)*100)/(G16-C16)</f>
        <v>96.2398284236423</v>
      </c>
      <c r="P16" s="5"/>
      <c r="Q16" s="27" t="n">
        <f aca="false">(L16-C16)/F16</f>
        <v>20.3798783683601</v>
      </c>
      <c r="R16" s="5"/>
      <c r="S16" s="27" t="n">
        <f aca="false">((L16-C16)*100)/(G16-C16)</f>
        <v>3.76017157635774</v>
      </c>
      <c r="T16" s="5"/>
    </row>
    <row r="17" customFormat="false" ht="12.8" hidden="false" customHeight="false" outlineLevel="0" collapsed="false">
      <c r="A17" s="8" t="s">
        <v>11</v>
      </c>
      <c r="B17" s="9" t="n">
        <v>1</v>
      </c>
      <c r="C17" s="10" t="n">
        <v>84.2193</v>
      </c>
      <c r="D17" s="29" t="n">
        <f aca="false">88.6434</f>
        <v>88.6434</v>
      </c>
      <c r="E17" s="10" t="n">
        <f aca="false">D17-C17</f>
        <v>4.4241</v>
      </c>
      <c r="F17" s="10" t="n">
        <f aca="false">E17/$J$5</f>
        <v>0.00495378862594997</v>
      </c>
      <c r="G17" s="29" t="n">
        <v>88.4966</v>
      </c>
      <c r="H17" s="10" t="n">
        <f aca="false">((G17-C17))/(F17)</f>
        <v>863.440151159005</v>
      </c>
      <c r="I17" s="11" t="n">
        <f aca="false">MEDIAN(H17:H19)</f>
        <v>867.723994290837</v>
      </c>
      <c r="J17" s="10" t="n">
        <f aca="false">((G17-C17)*100)/(D17-C17)</f>
        <v>96.6818109898059</v>
      </c>
      <c r="K17" s="11" t="n">
        <f aca="false">MEDIAN(J17:J19)</f>
        <v>97.1614848982126</v>
      </c>
      <c r="L17" s="29" t="n">
        <v>84.2144</v>
      </c>
      <c r="M17" s="10" t="n">
        <f aca="false">(G17-L17)/F17</f>
        <v>864.42929308047</v>
      </c>
      <c r="N17" s="11" t="n">
        <f aca="false">MEDIAN(M17:M19)</f>
        <v>868.654816122481</v>
      </c>
      <c r="O17" s="10" t="n">
        <f aca="false">((G17-L17)*100)/(G17-C17)</f>
        <v>100.114558249363</v>
      </c>
      <c r="P17" s="11" t="n">
        <f aca="false">MEDIAN(O17:O19)</f>
        <v>100.114558249363</v>
      </c>
      <c r="Q17" s="10" t="n">
        <f aca="false">(L17-C17)/F17</f>
        <v>-0.989141921465551</v>
      </c>
      <c r="R17" s="11" t="n">
        <f aca="false">MEDIAN(Q17:Q19)</f>
        <v>-0.989141921465551</v>
      </c>
      <c r="S17" s="10" t="n">
        <f aca="false">((L17-C17)*100)/(G17-C17)</f>
        <v>-0.114558249363064</v>
      </c>
      <c r="T17" s="11" t="n">
        <f aca="false">MEDIAN(S17:S19)</f>
        <v>-0.114558249363064</v>
      </c>
    </row>
    <row r="18" customFormat="false" ht="12.8" hidden="false" customHeight="false" outlineLevel="0" collapsed="false">
      <c r="A18" s="8"/>
      <c r="B18" s="30" t="n">
        <v>2</v>
      </c>
      <c r="C18" s="31" t="n">
        <v>73.478</v>
      </c>
      <c r="D18" s="32" t="n">
        <f aca="false">77.9874</f>
        <v>77.9874</v>
      </c>
      <c r="E18" s="31" t="n">
        <f aca="false">D18-C18</f>
        <v>4.5094</v>
      </c>
      <c r="F18" s="31" t="n">
        <f aca="false">E18/$J$5</f>
        <v>0.00504930142398653</v>
      </c>
      <c r="G18" s="32" t="n">
        <v>77.8594</v>
      </c>
      <c r="H18" s="31" t="n">
        <f aca="false">((G18-C18))/(F18)</f>
        <v>867.723994290837</v>
      </c>
      <c r="I18" s="11"/>
      <c r="J18" s="31" t="n">
        <f aca="false">((G18-C18)*100)/(D18-C18)</f>
        <v>97.1614848982126</v>
      </c>
      <c r="K18" s="11"/>
      <c r="L18" s="32" t="n">
        <v>73.4733</v>
      </c>
      <c r="M18" s="31" t="n">
        <f aca="false">(G18-L18)/F18</f>
        <v>868.654816122481</v>
      </c>
      <c r="N18" s="11"/>
      <c r="O18" s="31" t="n">
        <f aca="false">((G18-L18)*100)/(G18-C18)</f>
        <v>100.107271648332</v>
      </c>
      <c r="P18" s="11"/>
      <c r="Q18" s="31" t="n">
        <f aca="false">(L18-C18)/F18</f>
        <v>-0.930821831644378</v>
      </c>
      <c r="R18" s="11"/>
      <c r="S18" s="31" t="n">
        <f aca="false">((L18-C18)*100)/(G18-C18)</f>
        <v>-0.107271648331577</v>
      </c>
      <c r="T18" s="11"/>
    </row>
    <row r="19" customFormat="false" ht="12.8" hidden="false" customHeight="false" outlineLevel="0" collapsed="false">
      <c r="A19" s="8"/>
      <c r="B19" s="12" t="n">
        <v>3</v>
      </c>
      <c r="C19" s="13" t="n">
        <v>86.2012</v>
      </c>
      <c r="D19" s="33" t="n">
        <f aca="false">90.6107</f>
        <v>90.6107</v>
      </c>
      <c r="E19" s="13" t="n">
        <f aca="false">D19-C19</f>
        <v>4.40949999999999</v>
      </c>
      <c r="F19" s="13" t="n">
        <f aca="false">E19/$J$5</f>
        <v>0.00493744059721217</v>
      </c>
      <c r="G19" s="33" t="n">
        <v>90.5034</v>
      </c>
      <c r="H19" s="13" t="n">
        <f aca="false">((G19-C19))/(F19)</f>
        <v>871.342128638297</v>
      </c>
      <c r="I19" s="11"/>
      <c r="J19" s="13" t="n">
        <f aca="false">((G19-C19)*100)/(D19-C19)</f>
        <v>97.5666175303324</v>
      </c>
      <c r="K19" s="11"/>
      <c r="L19" s="33" t="n">
        <v>86.1958</v>
      </c>
      <c r="M19" s="13" t="n">
        <f aca="false">(G19-L19)/F19</f>
        <v>872.435812682424</v>
      </c>
      <c r="N19" s="11"/>
      <c r="O19" s="13" t="n">
        <f aca="false">((G19-L19)*100)/(G19-C19)</f>
        <v>100.125517177258</v>
      </c>
      <c r="P19" s="11"/>
      <c r="Q19" s="13" t="n">
        <f aca="false">(L19-C19)/F19</f>
        <v>-1.09368404412673</v>
      </c>
      <c r="R19" s="11"/>
      <c r="S19" s="13" t="n">
        <f aca="false">((L19-C19)*100)/(G19-C19)</f>
        <v>-0.12551717725802</v>
      </c>
      <c r="T19" s="11"/>
    </row>
    <row r="20" customFormat="false" ht="12.8" hidden="false" customHeight="false" outlineLevel="0" collapsed="false">
      <c r="A20" s="14" t="s">
        <v>12</v>
      </c>
      <c r="B20" s="15" t="n">
        <v>1</v>
      </c>
      <c r="C20" s="16" t="n">
        <v>78.731</v>
      </c>
      <c r="D20" s="34" t="n">
        <f aca="false">105.9875</f>
        <v>105.9875</v>
      </c>
      <c r="E20" s="16" t="n">
        <f aca="false">D20-C20</f>
        <v>27.2565</v>
      </c>
      <c r="F20" s="16" t="n">
        <f aca="false">E20/$J$7</f>
        <v>0.0255106146915639</v>
      </c>
      <c r="G20" s="34" t="n">
        <v>91.0021</v>
      </c>
      <c r="H20" s="16" t="n">
        <f aca="false">((G20-C20))/(F20)</f>
        <v>481.019377555726</v>
      </c>
      <c r="I20" s="17" t="n">
        <f aca="false">MEDIAN(H20:H22)</f>
        <v>536.39975270356</v>
      </c>
      <c r="J20" s="35" t="n">
        <f aca="false">((G20-C20)*100)/(D20-C20)</f>
        <v>45.0208207216627</v>
      </c>
      <c r="K20" s="19" t="n">
        <f aca="false">MEDIAN(J20:J22)</f>
        <v>50.2041252980781</v>
      </c>
      <c r="L20" s="34" t="n">
        <v>79.2024</v>
      </c>
      <c r="M20" s="16" t="n">
        <f aca="false">(G20-L20)/F20</f>
        <v>462.540794985315</v>
      </c>
      <c r="N20" s="17" t="n">
        <f aca="false">MEDIAN(M20:M22)</f>
        <v>520.806779510477</v>
      </c>
      <c r="O20" s="35" t="n">
        <f aca="false">((G20-L20)*100)/(G20-C20)</f>
        <v>96.1584536023665</v>
      </c>
      <c r="P20" s="19" t="n">
        <f aca="false">MEDIAN(O20:O22)</f>
        <v>96.2398284236423</v>
      </c>
      <c r="Q20" s="16" t="n">
        <f aca="false">(L20-C20)/F20</f>
        <v>18.478582570411</v>
      </c>
      <c r="R20" s="17" t="n">
        <f aca="false">MEDIAN(Q20:Q22)</f>
        <v>18.478582570411</v>
      </c>
      <c r="S20" s="35" t="n">
        <f aca="false">((L20-C20)*100)/(G20-C20)</f>
        <v>3.84154639763349</v>
      </c>
      <c r="T20" s="19" t="n">
        <f aca="false">MEDIAN(S20:S22)</f>
        <v>3.76017157635774</v>
      </c>
    </row>
    <row r="21" customFormat="false" ht="12.8" hidden="false" customHeight="false" outlineLevel="0" collapsed="false">
      <c r="A21" s="14"/>
      <c r="B21" s="36" t="n">
        <v>2</v>
      </c>
      <c r="C21" s="35" t="n">
        <v>84.3206</v>
      </c>
      <c r="D21" s="37" t="n">
        <f aca="false">113.2979</f>
        <v>113.2979</v>
      </c>
      <c r="E21" s="35" t="n">
        <f aca="false">D21-C21</f>
        <v>28.9773</v>
      </c>
      <c r="F21" s="35" t="n">
        <f aca="false">E21/$J$7</f>
        <v>0.027121190728885</v>
      </c>
      <c r="G21" s="37" t="n">
        <v>98.8684</v>
      </c>
      <c r="H21" s="35" t="n">
        <f aca="false">((G21-C21))/(F21)</f>
        <v>536.39975270356</v>
      </c>
      <c r="I21" s="17"/>
      <c r="J21" s="35" t="n">
        <f aca="false">((G21-C21)*100)/(D21-C21)</f>
        <v>50.2041252980781</v>
      </c>
      <c r="K21" s="19"/>
      <c r="L21" s="37" t="n">
        <v>84.7435</v>
      </c>
      <c r="M21" s="35" t="n">
        <f aca="false">(G21-L21)/F21</f>
        <v>520.806779510477</v>
      </c>
      <c r="N21" s="17"/>
      <c r="O21" s="35" t="n">
        <f aca="false">((G21-L21)*100)/(G21-C21)</f>
        <v>97.0930312487112</v>
      </c>
      <c r="P21" s="19"/>
      <c r="Q21" s="35" t="n">
        <f aca="false">(L21-C21)/F21</f>
        <v>15.5929731930831</v>
      </c>
      <c r="R21" s="17"/>
      <c r="S21" s="35" t="n">
        <f aca="false">((L21-C21)*100)/(G21-C21)</f>
        <v>2.90696875128885</v>
      </c>
      <c r="T21" s="19"/>
    </row>
    <row r="22" customFormat="false" ht="12.8" hidden="false" customHeight="false" outlineLevel="0" collapsed="false">
      <c r="A22" s="14"/>
      <c r="B22" s="18" t="n">
        <v>3</v>
      </c>
      <c r="C22" s="19" t="n">
        <v>77.5887</v>
      </c>
      <c r="D22" s="38" t="n">
        <f aca="false">108.8399</f>
        <v>108.8399</v>
      </c>
      <c r="E22" s="19" t="n">
        <f aca="false">D22-C22</f>
        <v>31.2512</v>
      </c>
      <c r="F22" s="19" t="n">
        <f aca="false">E22/$J$7</f>
        <v>0.0292494385504009</v>
      </c>
      <c r="G22" s="38" t="n">
        <v>93.4417</v>
      </c>
      <c r="H22" s="19" t="n">
        <f aca="false">((G22-C22))/(F22)</f>
        <v>541.993309467567</v>
      </c>
      <c r="I22" s="17"/>
      <c r="J22" s="19" t="n">
        <f aca="false">((G22-C22)*100)/(D22-C22)</f>
        <v>50.727652058161</v>
      </c>
      <c r="K22" s="19"/>
      <c r="L22" s="38" t="n">
        <v>78.1848</v>
      </c>
      <c r="M22" s="19" t="n">
        <f aca="false">(G22-L22)/F22</f>
        <v>521.613431099207</v>
      </c>
      <c r="N22" s="17"/>
      <c r="O22" s="19" t="n">
        <f aca="false">((G22-L22)*100)/(G22-C22)</f>
        <v>96.2398284236423</v>
      </c>
      <c r="P22" s="19"/>
      <c r="Q22" s="19" t="n">
        <f aca="false">(L22-C22)/F22</f>
        <v>20.3798783683601</v>
      </c>
      <c r="R22" s="17"/>
      <c r="S22" s="19" t="n">
        <f aca="false">((L22-C22)*100)/(G22-C22)</f>
        <v>3.76017157635774</v>
      </c>
      <c r="T22" s="19"/>
    </row>
    <row r="23" customFormat="false" ht="12.8" hidden="false" customHeight="false" outlineLevel="0" collapsed="false">
      <c r="C23" s="0" t="n">
        <v>71.7136</v>
      </c>
      <c r="D23" s="0" t="n">
        <v>94.3466</v>
      </c>
      <c r="E23" s="39"/>
      <c r="G23" s="0" t="n">
        <v>71.7446</v>
      </c>
      <c r="K23" s="39"/>
      <c r="L23" s="0" t="n">
        <v>71.7204</v>
      </c>
    </row>
    <row r="24" customFormat="false" ht="12.8" hidden="false" customHeight="false" outlineLevel="0" collapsed="false">
      <c r="C24" s="0" t="n">
        <v>78.4856</v>
      </c>
      <c r="D24" s="0" t="n">
        <v>103.4794</v>
      </c>
      <c r="E24" s="39"/>
      <c r="G24" s="0" t="n">
        <v>81.8396</v>
      </c>
      <c r="K24" s="39"/>
      <c r="L24" s="0" t="n">
        <v>78.4935</v>
      </c>
    </row>
    <row r="25" customFormat="false" ht="12.8" hidden="false" customHeight="false" outlineLevel="0" collapsed="false">
      <c r="C25" s="0" t="n">
        <v>73.2435</v>
      </c>
      <c r="D25" s="0" t="n">
        <v>96.3926</v>
      </c>
      <c r="G25" s="0" t="n">
        <v>76.1155</v>
      </c>
      <c r="L25" s="0" t="n">
        <v>73.2506</v>
      </c>
    </row>
    <row r="26" customFormat="false" ht="12.8" hidden="false" customHeight="false" outlineLevel="0" collapsed="false">
      <c r="A26" s="2" t="s">
        <v>30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customFormat="false" ht="12.8" hidden="false" customHeight="false" outlineLevel="0" collapsed="false">
      <c r="A27" s="2" t="s">
        <v>1</v>
      </c>
      <c r="B27" s="2"/>
      <c r="C27" s="2" t="s">
        <v>31</v>
      </c>
      <c r="D27" s="2" t="s">
        <v>32</v>
      </c>
      <c r="E27" s="2" t="s">
        <v>33</v>
      </c>
      <c r="F27" s="2" t="s">
        <v>34</v>
      </c>
      <c r="G27" s="2" t="s">
        <v>35</v>
      </c>
      <c r="H27" s="2" t="s">
        <v>32</v>
      </c>
      <c r="I27" s="2" t="s">
        <v>36</v>
      </c>
      <c r="J27" s="2" t="s">
        <v>33</v>
      </c>
      <c r="K27" s="2" t="s">
        <v>37</v>
      </c>
      <c r="L27" s="2" t="s">
        <v>34</v>
      </c>
      <c r="M27" s="2" t="s">
        <v>38</v>
      </c>
    </row>
    <row r="28" customFormat="false" ht="12.8" hidden="false" customHeight="false" outlineLevel="0" collapsed="false">
      <c r="A28" s="3" t="s">
        <v>10</v>
      </c>
      <c r="B28" s="4" t="n">
        <v>1</v>
      </c>
      <c r="C28" s="40" t="n">
        <v>5.039</v>
      </c>
      <c r="D28" s="40" t="n">
        <v>5.044</v>
      </c>
      <c r="E28" s="40" t="n">
        <v>0.00562</v>
      </c>
      <c r="F28" s="40" t="n">
        <v>0.6891</v>
      </c>
      <c r="G28" s="41" t="n">
        <v>400</v>
      </c>
      <c r="H28" s="25" t="n">
        <f aca="false">D28*G28</f>
        <v>2017.6</v>
      </c>
      <c r="I28" s="42" t="n">
        <f aca="false">MEDIAN(H28:H29)</f>
        <v>1778.6</v>
      </c>
      <c r="J28" s="25" t="n">
        <f aca="false">E28*G28</f>
        <v>2.248</v>
      </c>
      <c r="K28" s="42" t="n">
        <f aca="false">MEDIAN(J28:J29)</f>
        <v>16.68</v>
      </c>
      <c r="L28" s="25" t="n">
        <f aca="false">F28*G28</f>
        <v>275.64</v>
      </c>
      <c r="M28" s="42" t="n">
        <f aca="false">MEDIAN(L28:L29)</f>
        <v>281.76</v>
      </c>
    </row>
    <row r="29" customFormat="false" ht="12.8" hidden="false" customHeight="false" outlineLevel="0" collapsed="false">
      <c r="A29" s="3"/>
      <c r="B29" s="4" t="n">
        <v>2</v>
      </c>
      <c r="C29" s="43" t="n">
        <v>3.927</v>
      </c>
      <c r="D29" s="43" t="n">
        <v>3.849</v>
      </c>
      <c r="E29" s="43" t="n">
        <v>0.07778</v>
      </c>
      <c r="F29" s="43" t="n">
        <v>0.7197</v>
      </c>
      <c r="G29" s="44" t="n">
        <v>400</v>
      </c>
      <c r="H29" s="45" t="n">
        <f aca="false">D29*G29</f>
        <v>1539.6</v>
      </c>
      <c r="I29" s="42"/>
      <c r="J29" s="45" t="n">
        <f aca="false">E29*G29</f>
        <v>31.112</v>
      </c>
      <c r="K29" s="42"/>
      <c r="L29" s="45" t="n">
        <f aca="false">F29*G29</f>
        <v>287.88</v>
      </c>
      <c r="M29" s="42"/>
    </row>
    <row r="30" customFormat="false" ht="12.8" hidden="false" customHeight="false" outlineLevel="0" collapsed="false">
      <c r="A30" s="8" t="s">
        <v>11</v>
      </c>
      <c r="B30" s="9" t="n">
        <v>1</v>
      </c>
      <c r="C30" s="46" t="n">
        <v>8.808</v>
      </c>
      <c r="D30" s="46" t="n">
        <v>8.812</v>
      </c>
      <c r="E30" s="46" t="n">
        <v>0.00431</v>
      </c>
      <c r="F30" s="46" t="n">
        <v>0.5875</v>
      </c>
      <c r="G30" s="47" t="n">
        <v>800</v>
      </c>
      <c r="H30" s="9" t="n">
        <f aca="false">D30*G30</f>
        <v>7049.6</v>
      </c>
      <c r="I30" s="8" t="n">
        <f aca="false">MEDIAN(H30:H31)</f>
        <v>5523.2</v>
      </c>
      <c r="J30" s="9" t="n">
        <f aca="false">E30*G30</f>
        <v>3.448</v>
      </c>
      <c r="K30" s="8" t="n">
        <f aca="false">MEDIAN(J30:J31)</f>
        <v>3.228</v>
      </c>
      <c r="L30" s="9" t="n">
        <f aca="false">F30*G30</f>
        <v>470</v>
      </c>
      <c r="M30" s="8" t="n">
        <f aca="false">MEDIAN(L30:L31)</f>
        <v>488.6</v>
      </c>
    </row>
    <row r="31" customFormat="false" ht="12.8" hidden="false" customHeight="false" outlineLevel="0" collapsed="false">
      <c r="A31" s="8"/>
      <c r="B31" s="12" t="n">
        <v>2</v>
      </c>
      <c r="C31" s="48" t="n">
        <v>4.992</v>
      </c>
      <c r="D31" s="48" t="n">
        <v>4.996</v>
      </c>
      <c r="E31" s="48" t="n">
        <v>0.00376</v>
      </c>
      <c r="F31" s="48" t="n">
        <v>0.634</v>
      </c>
      <c r="G31" s="49" t="n">
        <v>800</v>
      </c>
      <c r="H31" s="12" t="n">
        <f aca="false">D31*G31</f>
        <v>3996.8</v>
      </c>
      <c r="I31" s="8"/>
      <c r="J31" s="12" t="n">
        <f aca="false">E31*G31</f>
        <v>3.008</v>
      </c>
      <c r="K31" s="8"/>
      <c r="L31" s="12" t="n">
        <f aca="false">F31*G31</f>
        <v>507.2</v>
      </c>
      <c r="M31" s="8"/>
    </row>
  </sheetData>
  <mergeCells count="42">
    <mergeCell ref="A1:J1"/>
    <mergeCell ref="A2:B2"/>
    <mergeCell ref="A3:A4"/>
    <mergeCell ref="J3:J4"/>
    <mergeCell ref="A5:A6"/>
    <mergeCell ref="J5:J6"/>
    <mergeCell ref="A7:A8"/>
    <mergeCell ref="J7:J8"/>
    <mergeCell ref="A9:B9"/>
    <mergeCell ref="A12:T12"/>
    <mergeCell ref="A13:B13"/>
    <mergeCell ref="A14:A16"/>
    <mergeCell ref="I14:I16"/>
    <mergeCell ref="K14:K16"/>
    <mergeCell ref="N14:N16"/>
    <mergeCell ref="P14:P16"/>
    <mergeCell ref="R14:R16"/>
    <mergeCell ref="T14:T16"/>
    <mergeCell ref="A17:A19"/>
    <mergeCell ref="I17:I19"/>
    <mergeCell ref="K17:K19"/>
    <mergeCell ref="N17:N19"/>
    <mergeCell ref="P17:P19"/>
    <mergeCell ref="R17:R19"/>
    <mergeCell ref="T17:T19"/>
    <mergeCell ref="A20:A22"/>
    <mergeCell ref="I20:I22"/>
    <mergeCell ref="K20:K22"/>
    <mergeCell ref="N20:N22"/>
    <mergeCell ref="P20:P22"/>
    <mergeCell ref="R20:R22"/>
    <mergeCell ref="T20:T22"/>
    <mergeCell ref="A26:M26"/>
    <mergeCell ref="A27:B27"/>
    <mergeCell ref="A28:A29"/>
    <mergeCell ref="I28:I29"/>
    <mergeCell ref="K28:K29"/>
    <mergeCell ref="M28:M29"/>
    <mergeCell ref="A30:A31"/>
    <mergeCell ref="I30:I31"/>
    <mergeCell ref="K30:K31"/>
    <mergeCell ref="M30:M3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I21" activeCellId="0" sqref="I2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50" width="11.53"/>
    <col collapsed="false" customWidth="true" hidden="false" outlineLevel="0" max="2" min="2" style="50" width="15.76"/>
    <col collapsed="false" customWidth="false" hidden="false" outlineLevel="0" max="5" min="3" style="50" width="11.53"/>
    <col collapsed="false" customWidth="true" hidden="false" outlineLevel="0" max="6" min="6" style="50" width="11.12"/>
    <col collapsed="false" customWidth="true" hidden="false" outlineLevel="0" max="9" min="9" style="0" width="17.01"/>
    <col collapsed="false" customWidth="true" hidden="false" outlineLevel="0" max="10" min="10" style="0" width="18.08"/>
    <col collapsed="false" customWidth="true" hidden="false" outlineLevel="0" max="11" min="11" style="0" width="18.54"/>
    <col collapsed="false" customWidth="true" hidden="false" outlineLevel="0" max="12" min="12" style="0" width="21.6"/>
    <col collapsed="false" customWidth="true" hidden="false" outlineLevel="0" max="13" min="13" style="0" width="14.79"/>
    <col collapsed="false" customWidth="true" hidden="false" outlineLevel="0" max="14" min="14" style="0" width="21.6"/>
    <col collapsed="false" customWidth="true" hidden="false" outlineLevel="0" max="15" min="15" style="0" width="13.22"/>
    <col collapsed="false" customWidth="true" hidden="false" outlineLevel="0" max="16" min="16" style="0" width="18.22"/>
  </cols>
  <sheetData>
    <row r="1" customFormat="false" ht="12.8" hidden="false" customHeight="false" outlineLevel="0" collapsed="false">
      <c r="A1" s="51" t="s">
        <v>39</v>
      </c>
      <c r="B1" s="51" t="s">
        <v>40</v>
      </c>
      <c r="C1" s="51" t="s">
        <v>41</v>
      </c>
      <c r="D1" s="51" t="s">
        <v>42</v>
      </c>
      <c r="E1" s="51" t="s">
        <v>17</v>
      </c>
      <c r="F1" s="51" t="s">
        <v>22</v>
      </c>
      <c r="I1" s="52"/>
      <c r="J1" s="53" t="s">
        <v>43</v>
      </c>
      <c r="K1" s="54" t="s">
        <v>44</v>
      </c>
      <c r="M1" s="55"/>
      <c r="N1" s="52"/>
      <c r="O1" s="53" t="s">
        <v>43</v>
      </c>
      <c r="P1" s="54" t="s">
        <v>44</v>
      </c>
    </row>
    <row r="2" customFormat="false" ht="12.8" hidden="false" customHeight="false" outlineLevel="0" collapsed="false">
      <c r="A2" s="56" t="s">
        <v>10</v>
      </c>
      <c r="B2" s="57" t="n">
        <f aca="false">Caracterizacao!J3</f>
        <v>1068.43760252525</v>
      </c>
      <c r="C2" s="56" t="n">
        <f aca="false">Caracterizacao!I28/1000</f>
        <v>1.7786</v>
      </c>
      <c r="D2" s="58" t="n">
        <f aca="false">Caracterizacao!M28/1000</f>
        <v>0.28176</v>
      </c>
      <c r="E2" s="59" t="n">
        <f aca="false">Caracterizacao!I14</f>
        <v>536.39975270356</v>
      </c>
      <c r="F2" s="57" t="n">
        <f aca="false">Caracterizacao!N14</f>
        <v>520.806779510477</v>
      </c>
      <c r="I2" s="60" t="s">
        <v>39</v>
      </c>
      <c r="J2" s="61" t="s">
        <v>45</v>
      </c>
      <c r="K2" s="62" t="s">
        <v>46</v>
      </c>
      <c r="M2" s="63"/>
      <c r="N2" s="60" t="s">
        <v>47</v>
      </c>
      <c r="O2" s="64" t="n">
        <v>1</v>
      </c>
      <c r="P2" s="65" t="n">
        <v>100</v>
      </c>
    </row>
    <row r="3" customFormat="false" ht="12.8" hidden="false" customHeight="false" outlineLevel="0" collapsed="false">
      <c r="A3" s="66" t="s">
        <v>45</v>
      </c>
      <c r="B3" s="67" t="n">
        <f aca="false">Caracterizacao!J5</f>
        <v>893.074035663281</v>
      </c>
      <c r="C3" s="66" t="n">
        <f aca="false">Caracterizacao!I30/1000</f>
        <v>5.5232</v>
      </c>
      <c r="D3" s="66" t="n">
        <f aca="false">Caracterizacao!M30/1000</f>
        <v>0.4886</v>
      </c>
      <c r="E3" s="67" t="n">
        <f aca="false">Caracterizacao!I17</f>
        <v>867.723994290837</v>
      </c>
      <c r="F3" s="67" t="n">
        <f aca="false">Caracterizacao!N17</f>
        <v>868.654816122481</v>
      </c>
      <c r="I3" s="68" t="s">
        <v>40</v>
      </c>
      <c r="J3" s="69" t="n">
        <f aca="false">INDEX($B$2:$B$100,MATCH($J$2,$A$2:$A$100,0))</f>
        <v>893.074035663281</v>
      </c>
      <c r="K3" s="70" t="n">
        <f aca="false">INDEX($B$2:$B$100,MATCH($K$2,$A$2:$A$100,0))</f>
        <v>1260</v>
      </c>
      <c r="M3" s="63"/>
      <c r="N3" s="68" t="s">
        <v>48</v>
      </c>
      <c r="O3" s="69" t="n">
        <f aca="false">J3</f>
        <v>893.074035663281</v>
      </c>
      <c r="P3" s="70" t="n">
        <f aca="false">K3</f>
        <v>1260</v>
      </c>
    </row>
    <row r="4" customFormat="false" ht="12.8" hidden="false" customHeight="false" outlineLevel="0" collapsed="false">
      <c r="A4" s="71" t="s">
        <v>46</v>
      </c>
      <c r="B4" s="71" t="n">
        <v>1260</v>
      </c>
      <c r="C4" s="71" t="n">
        <v>493</v>
      </c>
      <c r="D4" s="71" t="n">
        <v>0</v>
      </c>
      <c r="E4" s="71" t="n">
        <v>1000</v>
      </c>
      <c r="F4" s="71" t="n">
        <v>1000</v>
      </c>
      <c r="I4" s="68" t="s">
        <v>41</v>
      </c>
      <c r="J4" s="69" t="n">
        <f aca="false">INDEX($C$2:$C$100,MATCH($J$2,$A$2:$A$100,0))</f>
        <v>5.5232</v>
      </c>
      <c r="K4" s="70" t="n">
        <f aca="false">INDEX($C$2:$C$100,MATCH($K$2,$A$2:$A$100,0))</f>
        <v>493</v>
      </c>
      <c r="M4" s="63"/>
      <c r="N4" s="68" t="s">
        <v>49</v>
      </c>
      <c r="O4" s="69" t="n">
        <f aca="false">J4/$O$2</f>
        <v>5.5232</v>
      </c>
      <c r="P4" s="70" t="n">
        <f aca="false">K4/$P$2</f>
        <v>4.93</v>
      </c>
    </row>
    <row r="5" customFormat="false" ht="12.8" hidden="false" customHeight="false" outlineLevel="0" collapsed="false">
      <c r="A5" s="71" t="s">
        <v>50</v>
      </c>
      <c r="B5" s="71" t="n">
        <v>1540</v>
      </c>
      <c r="C5" s="71" t="n">
        <v>616</v>
      </c>
      <c r="D5" s="71" t="n">
        <v>0</v>
      </c>
      <c r="E5" s="71" t="n">
        <v>1540</v>
      </c>
      <c r="F5" s="71" t="n">
        <v>1540</v>
      </c>
      <c r="I5" s="68" t="s">
        <v>42</v>
      </c>
      <c r="J5" s="69" t="n">
        <f aca="false">INDEX($D$2:$D$100,MATCH($J$2,$A$2:$A$100,0))</f>
        <v>0.4886</v>
      </c>
      <c r="K5" s="70" t="n">
        <f aca="false">INDEX($D$2:$D$100,MATCH($K$2,$A$2:$A$100,0))</f>
        <v>0</v>
      </c>
      <c r="N5" s="68" t="s">
        <v>51</v>
      </c>
      <c r="O5" s="69" t="n">
        <f aca="false">J5/$O$2</f>
        <v>0.4886</v>
      </c>
      <c r="P5" s="70" t="n">
        <f aca="false">K5/$P$2</f>
        <v>0</v>
      </c>
    </row>
    <row r="6" customFormat="false" ht="12.8" hidden="false" customHeight="false" outlineLevel="0" collapsed="false">
      <c r="A6" s="71"/>
      <c r="B6" s="71"/>
      <c r="C6" s="71"/>
      <c r="D6" s="71"/>
      <c r="E6" s="71"/>
      <c r="F6" s="71"/>
      <c r="I6" s="68" t="s">
        <v>17</v>
      </c>
      <c r="J6" s="69" t="n">
        <f aca="false">INDEX($E$2:$E$100,MATCH($J$2,$A$2:$A$100,0))</f>
        <v>867.723994290837</v>
      </c>
      <c r="K6" s="70" t="n">
        <f aca="false">INDEX($E$2:$E$100,MATCH($K$2,$A$2:$A$100,0))</f>
        <v>1000</v>
      </c>
      <c r="N6" s="68" t="s">
        <v>52</v>
      </c>
      <c r="O6" s="69" t="n">
        <f aca="false">J6/$O$2</f>
        <v>867.723994290837</v>
      </c>
      <c r="P6" s="70" t="n">
        <f aca="false">K6/$P$2</f>
        <v>10</v>
      </c>
    </row>
    <row r="7" customFormat="false" ht="12.8" hidden="false" customHeight="false" outlineLevel="0" collapsed="false">
      <c r="A7" s="71"/>
      <c r="B7" s="71"/>
      <c r="C7" s="71"/>
      <c r="D7" s="71"/>
      <c r="E7" s="71"/>
      <c r="F7" s="71"/>
      <c r="I7" s="72" t="s">
        <v>22</v>
      </c>
      <c r="J7" s="73" t="n">
        <f aca="false">INDEX($F$2:$F$100,MATCH($J$2,$A$2:$A$100,0))</f>
        <v>868.654816122481</v>
      </c>
      <c r="K7" s="74" t="n">
        <f aca="false">INDEX($F$2:$F$100,MATCH($K$2,$A$2:$A$100,0))</f>
        <v>1000</v>
      </c>
      <c r="N7" s="72" t="s">
        <v>53</v>
      </c>
      <c r="O7" s="73" t="n">
        <f aca="false">J7/$O$2</f>
        <v>868.654816122481</v>
      </c>
      <c r="P7" s="74" t="n">
        <f aca="false">K7/$P$2</f>
        <v>10</v>
      </c>
    </row>
    <row r="8" customFormat="false" ht="12.8" hidden="false" customHeight="false" outlineLevel="0" collapsed="false">
      <c r="A8" s="71"/>
      <c r="B8" s="71"/>
      <c r="C8" s="71"/>
      <c r="D8" s="71"/>
      <c r="E8" s="71"/>
      <c r="F8" s="71"/>
    </row>
    <row r="9" customFormat="false" ht="12.8" hidden="false" customHeight="false" outlineLevel="0" collapsed="false">
      <c r="A9" s="71"/>
      <c r="B9" s="71"/>
      <c r="C9" s="71"/>
      <c r="D9" s="71"/>
      <c r="E9" s="71"/>
      <c r="F9" s="71"/>
    </row>
    <row r="10" customFormat="false" ht="12.8" hidden="false" customHeight="false" outlineLevel="0" collapsed="false">
      <c r="A10" s="71"/>
      <c r="B10" s="71"/>
      <c r="C10" s="71"/>
      <c r="D10" s="71"/>
      <c r="E10" s="71"/>
      <c r="F10" s="71"/>
      <c r="I10" s="75" t="s">
        <v>54</v>
      </c>
      <c r="J10" s="75"/>
      <c r="K10" s="75"/>
      <c r="L10" s="75"/>
      <c r="M10" s="75"/>
      <c r="N10" s="75"/>
      <c r="O10" s="75"/>
      <c r="P10" s="75"/>
    </row>
    <row r="11" customFormat="false" ht="12.8" hidden="false" customHeight="false" outlineLevel="0" collapsed="false">
      <c r="A11" s="71"/>
      <c r="B11" s="71"/>
      <c r="C11" s="71"/>
      <c r="D11" s="71"/>
      <c r="E11" s="71"/>
      <c r="F11" s="71"/>
    </row>
    <row r="12" customFormat="false" ht="12.8" hidden="false" customHeight="false" outlineLevel="0" collapsed="false">
      <c r="A12" s="71"/>
      <c r="B12" s="71"/>
      <c r="C12" s="71"/>
      <c r="D12" s="71"/>
      <c r="E12" s="71"/>
      <c r="F12" s="71"/>
      <c r="I12" s="2" t="s">
        <v>55</v>
      </c>
      <c r="J12" s="2"/>
    </row>
    <row r="13" customFormat="false" ht="12.8" hidden="false" customHeight="false" outlineLevel="0" collapsed="false">
      <c r="A13" s="71"/>
      <c r="B13" s="71"/>
      <c r="C13" s="71"/>
      <c r="D13" s="71"/>
      <c r="E13" s="71"/>
      <c r="F13" s="71"/>
      <c r="I13" s="76" t="s">
        <v>56</v>
      </c>
      <c r="J13" s="77" t="n">
        <v>25</v>
      </c>
    </row>
    <row r="14" customFormat="false" ht="12.8" hidden="false" customHeight="false" outlineLevel="0" collapsed="false">
      <c r="A14" s="71"/>
      <c r="B14" s="71"/>
      <c r="C14" s="71"/>
      <c r="D14" s="71"/>
      <c r="E14" s="71"/>
      <c r="F14" s="71"/>
      <c r="I14" s="78" t="s">
        <v>57</v>
      </c>
      <c r="J14" s="79" t="n">
        <v>1</v>
      </c>
      <c r="L14" s="2" t="s">
        <v>58</v>
      </c>
    </row>
    <row r="15" customFormat="false" ht="12.8" hidden="false" customHeight="true" outlineLevel="0" collapsed="false">
      <c r="A15" s="71"/>
      <c r="B15" s="71"/>
      <c r="C15" s="71"/>
      <c r="D15" s="71"/>
      <c r="E15" s="71"/>
      <c r="F15" s="71"/>
      <c r="I15" s="78" t="s">
        <v>59</v>
      </c>
      <c r="J15" s="80" t="n">
        <f aca="false">J13/J14</f>
        <v>25</v>
      </c>
      <c r="L15" s="68" t="n">
        <f aca="false">((J15*P5)-P4)</f>
        <v>-4.93</v>
      </c>
    </row>
    <row r="16" customFormat="false" ht="12.8" hidden="false" customHeight="false" outlineLevel="0" collapsed="false">
      <c r="A16" s="71"/>
      <c r="B16" s="71"/>
      <c r="C16" s="71"/>
      <c r="D16" s="71"/>
      <c r="E16" s="71"/>
      <c r="F16" s="71"/>
      <c r="I16" s="81" t="s">
        <v>60</v>
      </c>
      <c r="J16" s="82" t="n">
        <f aca="false">((J15*P5)-P4)/(O4-(J15*O5))</f>
        <v>0.736722555964016</v>
      </c>
      <c r="L16" s="72" t="n">
        <f aca="false">(O4-(J15*O5))</f>
        <v>-6.6918</v>
      </c>
    </row>
    <row r="17" customFormat="false" ht="12.8" hidden="false" customHeight="false" outlineLevel="0" collapsed="false">
      <c r="A17" s="71"/>
      <c r="B17" s="71"/>
      <c r="C17" s="71"/>
      <c r="D17" s="71"/>
      <c r="E17" s="71"/>
      <c r="F17" s="71"/>
    </row>
    <row r="18" customFormat="false" ht="12.8" hidden="false" customHeight="false" outlineLevel="0" collapsed="false">
      <c r="A18" s="71"/>
      <c r="B18" s="71"/>
      <c r="C18" s="71"/>
      <c r="D18" s="71"/>
      <c r="E18" s="71"/>
      <c r="F18" s="71"/>
      <c r="I18" s="83" t="s">
        <v>61</v>
      </c>
      <c r="J18" s="84" t="s">
        <v>62</v>
      </c>
      <c r="K18" s="84" t="s">
        <v>63</v>
      </c>
      <c r="L18" s="84" t="s">
        <v>64</v>
      </c>
      <c r="M18" s="75" t="s">
        <v>65</v>
      </c>
      <c r="N18" s="75"/>
      <c r="O18" s="85" t="s">
        <v>66</v>
      </c>
      <c r="P18" s="85"/>
    </row>
    <row r="19" customFormat="false" ht="12.8" hidden="false" customHeight="false" outlineLevel="0" collapsed="false">
      <c r="A19" s="71"/>
      <c r="B19" s="71"/>
      <c r="C19" s="71"/>
      <c r="D19" s="71"/>
      <c r="E19" s="71"/>
      <c r="F19" s="71"/>
      <c r="I19" s="86" t="s">
        <v>43</v>
      </c>
      <c r="J19" s="87" t="s">
        <v>61</v>
      </c>
      <c r="K19" s="87" t="n">
        <f aca="false">J16*J20</f>
        <v>0.736722555964016</v>
      </c>
      <c r="L19" s="87" t="n">
        <f aca="false">K19*1000</f>
        <v>736.722555964015</v>
      </c>
      <c r="M19" s="88" t="n">
        <f aca="false">K19*O4</f>
        <v>4.06906602110045</v>
      </c>
      <c r="N19" s="88"/>
      <c r="O19" s="89" t="s">
        <v>61</v>
      </c>
      <c r="P19" s="89"/>
    </row>
    <row r="20" customFormat="false" ht="12.8" hidden="false" customHeight="false" outlineLevel="0" collapsed="false">
      <c r="A20" s="71"/>
      <c r="B20" s="71"/>
      <c r="C20" s="71"/>
      <c r="D20" s="71"/>
      <c r="E20" s="71"/>
      <c r="F20" s="71"/>
      <c r="I20" s="90" t="s">
        <v>44</v>
      </c>
      <c r="J20" s="91" t="n">
        <v>1</v>
      </c>
      <c r="K20" s="92" t="s">
        <v>61</v>
      </c>
      <c r="L20" s="92" t="n">
        <f aca="false">J20*1000</f>
        <v>1000</v>
      </c>
      <c r="M20" s="93" t="n">
        <f aca="false">J20*P4</f>
        <v>4.93</v>
      </c>
      <c r="N20" s="93"/>
      <c r="O20" s="94" t="s">
        <v>61</v>
      </c>
      <c r="P20" s="94"/>
    </row>
    <row r="21" customFormat="false" ht="12.8" hidden="false" customHeight="false" outlineLevel="0" collapsed="false">
      <c r="A21" s="71"/>
      <c r="B21" s="71"/>
      <c r="C21" s="71"/>
      <c r="D21" s="71"/>
      <c r="E21" s="71"/>
      <c r="F21" s="71"/>
      <c r="I21" s="95" t="s">
        <v>67</v>
      </c>
      <c r="J21" s="96" t="n">
        <f aca="false">J20+K19</f>
        <v>1.73672255596402</v>
      </c>
      <c r="K21" s="96" t="s">
        <v>61</v>
      </c>
      <c r="L21" s="96" t="n">
        <f aca="false">J21*1000</f>
        <v>1736.72255596402</v>
      </c>
      <c r="M21" s="96" t="n">
        <f aca="false">M19+M20</f>
        <v>8.99906602110045</v>
      </c>
      <c r="N21" s="96"/>
      <c r="O21" s="97" t="n">
        <f aca="false">M21/J21</f>
        <v>5.18163709580272</v>
      </c>
      <c r="P21" s="97"/>
    </row>
    <row r="22" customFormat="false" ht="12.8" hidden="false" customHeight="false" outlineLevel="0" collapsed="false">
      <c r="A22" s="71"/>
      <c r="B22" s="71"/>
      <c r="C22" s="71"/>
      <c r="D22" s="71"/>
      <c r="E22" s="71"/>
      <c r="F22" s="71"/>
      <c r="I22" s="98" t="s">
        <v>43</v>
      </c>
      <c r="J22" s="99" t="n">
        <v>1</v>
      </c>
      <c r="K22" s="100" t="s">
        <v>61</v>
      </c>
      <c r="L22" s="100" t="n">
        <f aca="false">J22*1000</f>
        <v>1000</v>
      </c>
      <c r="M22" s="101" t="n">
        <f aca="false">J22*O3</f>
        <v>893.074035663281</v>
      </c>
      <c r="N22" s="101"/>
      <c r="O22" s="102" t="s">
        <v>61</v>
      </c>
      <c r="P22" s="102"/>
    </row>
    <row r="23" customFormat="false" ht="12.8" hidden="false" customHeight="false" outlineLevel="0" collapsed="false">
      <c r="A23" s="71"/>
      <c r="B23" s="71"/>
      <c r="C23" s="71"/>
      <c r="D23" s="71"/>
      <c r="E23" s="71"/>
      <c r="F23" s="71"/>
      <c r="I23" s="103" t="s">
        <v>44</v>
      </c>
      <c r="J23" s="104" t="s">
        <v>61</v>
      </c>
      <c r="K23" s="104" t="n">
        <f aca="false">J22/J16</f>
        <v>1.3573630831643</v>
      </c>
      <c r="L23" s="104" t="n">
        <f aca="false">K23*1000</f>
        <v>1357.3630831643</v>
      </c>
      <c r="M23" s="105" t="n">
        <f aca="false">K23*P3</f>
        <v>1710.27748478702</v>
      </c>
      <c r="N23" s="105"/>
      <c r="O23" s="106" t="s">
        <v>61</v>
      </c>
      <c r="P23" s="106"/>
    </row>
    <row r="24" customFormat="false" ht="12.8" hidden="false" customHeight="false" outlineLevel="0" collapsed="false">
      <c r="A24" s="71"/>
      <c r="B24" s="71"/>
      <c r="C24" s="71"/>
      <c r="D24" s="71"/>
      <c r="E24" s="71"/>
      <c r="F24" s="71"/>
      <c r="I24" s="107" t="s">
        <v>67</v>
      </c>
      <c r="J24" s="108" t="n">
        <f aca="false">J22+K23</f>
        <v>2.3573630831643</v>
      </c>
      <c r="K24" s="108" t="s">
        <v>61</v>
      </c>
      <c r="L24" s="108" t="n">
        <f aca="false">J24*1000</f>
        <v>2357.3630831643</v>
      </c>
      <c r="M24" s="108" t="n">
        <f aca="false">M22+M23</f>
        <v>2603.3515204503</v>
      </c>
      <c r="N24" s="108"/>
      <c r="O24" s="109" t="n">
        <f aca="false">M24/J24</f>
        <v>1104.34898172572</v>
      </c>
      <c r="P24" s="109"/>
    </row>
    <row r="25" customFormat="false" ht="12.8" hidden="false" customHeight="false" outlineLevel="0" collapsed="false">
      <c r="A25" s="71"/>
      <c r="B25" s="71"/>
      <c r="C25" s="71"/>
      <c r="D25" s="71"/>
      <c r="E25" s="71"/>
      <c r="F25" s="71"/>
    </row>
    <row r="26" customFormat="false" ht="12.8" hidden="false" customHeight="false" outlineLevel="0" collapsed="false">
      <c r="A26" s="71"/>
      <c r="B26" s="71"/>
      <c r="C26" s="71"/>
      <c r="D26" s="71"/>
      <c r="E26" s="71"/>
      <c r="F26" s="71"/>
    </row>
    <row r="27" customFormat="false" ht="12.8" hidden="false" customHeight="false" outlineLevel="0" collapsed="false">
      <c r="A27" s="71"/>
      <c r="B27" s="71"/>
      <c r="C27" s="71"/>
      <c r="D27" s="71"/>
      <c r="E27" s="71"/>
      <c r="F27" s="71"/>
      <c r="I27" s="75" t="s">
        <v>68</v>
      </c>
      <c r="J27" s="75"/>
      <c r="K27" s="75"/>
      <c r="L27" s="75"/>
      <c r="M27" s="75"/>
      <c r="N27" s="75"/>
      <c r="O27" s="75"/>
      <c r="P27" s="75"/>
    </row>
    <row r="28" customFormat="false" ht="12.8" hidden="false" customHeight="false" outlineLevel="0" collapsed="false">
      <c r="A28" s="71"/>
      <c r="B28" s="71"/>
      <c r="C28" s="71"/>
      <c r="D28" s="71"/>
      <c r="E28" s="71"/>
      <c r="F28" s="71"/>
    </row>
    <row r="29" customFormat="false" ht="12.8" hidden="false" customHeight="false" outlineLevel="0" collapsed="false">
      <c r="A29" s="71"/>
      <c r="B29" s="71"/>
      <c r="C29" s="71"/>
      <c r="D29" s="71"/>
      <c r="E29" s="71"/>
      <c r="F29" s="71"/>
      <c r="I29" s="110" t="s">
        <v>61</v>
      </c>
      <c r="J29" s="75" t="s">
        <v>69</v>
      </c>
      <c r="K29" s="75" t="s">
        <v>70</v>
      </c>
      <c r="L29" s="75" t="s">
        <v>71</v>
      </c>
      <c r="M29" s="75" t="s">
        <v>19</v>
      </c>
      <c r="N29" s="75" t="s">
        <v>72</v>
      </c>
      <c r="O29" s="75" t="s">
        <v>24</v>
      </c>
      <c r="P29" s="23" t="s">
        <v>73</v>
      </c>
    </row>
    <row r="30" customFormat="false" ht="12.8" hidden="false" customHeight="false" outlineLevel="0" collapsed="false">
      <c r="A30" s="71"/>
      <c r="B30" s="71"/>
      <c r="C30" s="71"/>
      <c r="D30" s="71"/>
      <c r="E30" s="71"/>
      <c r="F30" s="71"/>
      <c r="I30" s="111" t="s">
        <v>43</v>
      </c>
      <c r="J30" s="87" t="n">
        <f aca="false">K19*O3</f>
        <v>657.947786218951</v>
      </c>
      <c r="K30" s="112" t="n">
        <f aca="false">J30+J31</f>
        <v>1917.94778621895</v>
      </c>
      <c r="L30" s="112" t="n">
        <f aca="false">($O$6*K19)+($P$6*J20)</f>
        <v>649.27183894525</v>
      </c>
      <c r="M30" s="112" t="n">
        <f aca="false">(L30/K30)*100</f>
        <v>33.8524251603964</v>
      </c>
      <c r="N30" s="112" t="n">
        <f aca="false">($O$7*K19)+($P$7*J20)</f>
        <v>649.957596384206</v>
      </c>
      <c r="O30" s="112" t="n">
        <f aca="false">(N30/K30)*100</f>
        <v>33.8881799105457</v>
      </c>
      <c r="P30" s="113" t="n">
        <f aca="false">N30/L30</f>
        <v>1.00105619464425</v>
      </c>
    </row>
    <row r="31" customFormat="false" ht="12.8" hidden="false" customHeight="false" outlineLevel="0" collapsed="false">
      <c r="A31" s="71"/>
      <c r="B31" s="71"/>
      <c r="C31" s="71"/>
      <c r="D31" s="71"/>
      <c r="E31" s="71"/>
      <c r="F31" s="71"/>
      <c r="I31" s="114" t="s">
        <v>44</v>
      </c>
      <c r="J31" s="96" t="n">
        <f aca="false">J20*P3</f>
        <v>1260</v>
      </c>
      <c r="K31" s="112"/>
      <c r="L31" s="112"/>
      <c r="M31" s="112"/>
      <c r="N31" s="112"/>
      <c r="O31" s="112"/>
      <c r="P31" s="113"/>
    </row>
    <row r="32" customFormat="false" ht="12.8" hidden="false" customHeight="false" outlineLevel="0" collapsed="false">
      <c r="A32" s="71"/>
      <c r="B32" s="71"/>
      <c r="C32" s="71"/>
      <c r="D32" s="71"/>
      <c r="E32" s="71"/>
      <c r="F32" s="71"/>
      <c r="I32" s="115" t="s">
        <v>43</v>
      </c>
      <c r="J32" s="100" t="n">
        <f aca="false">J22*O3</f>
        <v>893.074035663281</v>
      </c>
      <c r="K32" s="116" t="n">
        <f aca="false">J32+J33</f>
        <v>2603.3515204503</v>
      </c>
      <c r="L32" s="116" t="n">
        <f aca="false">($O$6*K23)+($P$6*J22)</f>
        <v>1187.81651622625</v>
      </c>
      <c r="M32" s="116" t="n">
        <f aca="false">(L32/K32)*100</f>
        <v>45.6264360343008</v>
      </c>
      <c r="N32" s="116" t="n">
        <f aca="false">($O$7*K23)+($P$7*J22)</f>
        <v>1189.07997941753</v>
      </c>
      <c r="O32" s="116" t="n">
        <f aca="false">(N32/K32)*100</f>
        <v>45.6749682122011</v>
      </c>
      <c r="P32" s="117" t="n">
        <f aca="false">N32/L32</f>
        <v>1.00106368548847</v>
      </c>
    </row>
    <row r="33" customFormat="false" ht="12.8" hidden="false" customHeight="false" outlineLevel="0" collapsed="false">
      <c r="A33" s="71"/>
      <c r="B33" s="71"/>
      <c r="C33" s="71"/>
      <c r="D33" s="71"/>
      <c r="E33" s="71"/>
      <c r="F33" s="71"/>
      <c r="I33" s="118" t="s">
        <v>44</v>
      </c>
      <c r="J33" s="108" t="n">
        <f aca="false">K23*P3</f>
        <v>1710.27748478702</v>
      </c>
      <c r="K33" s="116"/>
      <c r="L33" s="116"/>
      <c r="M33" s="116"/>
      <c r="N33" s="116"/>
      <c r="O33" s="116"/>
      <c r="P33" s="117"/>
    </row>
    <row r="34" customFormat="false" ht="12.8" hidden="false" customHeight="false" outlineLevel="0" collapsed="false">
      <c r="A34" s="71"/>
      <c r="B34" s="71"/>
      <c r="C34" s="71"/>
      <c r="D34" s="71"/>
      <c r="E34" s="71"/>
      <c r="F34" s="71"/>
    </row>
    <row r="35" customFormat="false" ht="12.8" hidden="false" customHeight="false" outlineLevel="0" collapsed="false">
      <c r="A35" s="71"/>
      <c r="B35" s="71"/>
      <c r="C35" s="71"/>
      <c r="D35" s="71"/>
      <c r="E35" s="71"/>
      <c r="F35" s="71"/>
      <c r="I35" s="2" t="s">
        <v>74</v>
      </c>
      <c r="K35" s="76" t="s">
        <v>75</v>
      </c>
      <c r="L35" s="119" t="s">
        <v>76</v>
      </c>
      <c r="M35" s="119" t="s">
        <v>62</v>
      </c>
      <c r="N35" s="120" t="s">
        <v>77</v>
      </c>
    </row>
    <row r="36" customFormat="false" ht="12.8" hidden="false" customHeight="false" outlineLevel="0" collapsed="false">
      <c r="A36" s="71"/>
      <c r="B36" s="71"/>
      <c r="C36" s="71"/>
      <c r="D36" s="71"/>
      <c r="E36" s="71"/>
      <c r="F36" s="71"/>
      <c r="I36" s="121" t="n">
        <v>10</v>
      </c>
      <c r="K36" s="86" t="n">
        <f aca="false">M30/$I$36</f>
        <v>3.38524251603964</v>
      </c>
      <c r="L36" s="87" t="n">
        <f aca="false">N30/K36</f>
        <v>191.997351239871</v>
      </c>
      <c r="M36" s="87" t="n">
        <f aca="false">K36*J21</f>
        <v>5.87922703501442</v>
      </c>
      <c r="N36" s="122" t="n">
        <f aca="false">L36/M36</f>
        <v>32.6569037215961</v>
      </c>
    </row>
    <row r="37" customFormat="false" ht="12.8" hidden="false" customHeight="false" outlineLevel="0" collapsed="false">
      <c r="A37" s="71"/>
      <c r="B37" s="71"/>
      <c r="C37" s="71"/>
      <c r="D37" s="71"/>
      <c r="E37" s="71"/>
      <c r="F37" s="71"/>
      <c r="I37" s="123" t="n">
        <v>15</v>
      </c>
      <c r="K37" s="124" t="n">
        <f aca="false">M30/$I$37</f>
        <v>2.25682834402643</v>
      </c>
      <c r="L37" s="125" t="n">
        <f aca="false">N30/K37</f>
        <v>287.996026859806</v>
      </c>
      <c r="M37" s="125" t="n">
        <f aca="false">K37*J21</f>
        <v>3.91948469000961</v>
      </c>
      <c r="N37" s="126" t="n">
        <f aca="false">L37/M37</f>
        <v>73.4780333735912</v>
      </c>
    </row>
    <row r="38" customFormat="false" ht="12.8" hidden="false" customHeight="false" outlineLevel="0" collapsed="false">
      <c r="A38" s="71"/>
      <c r="B38" s="71"/>
      <c r="C38" s="71"/>
      <c r="D38" s="71"/>
      <c r="E38" s="71"/>
      <c r="F38" s="71"/>
      <c r="K38" s="98" t="n">
        <f aca="false">M32/$I$36</f>
        <v>4.56264360343008</v>
      </c>
      <c r="L38" s="100" t="n">
        <f aca="false">N32/K38</f>
        <v>260.612066768399</v>
      </c>
      <c r="M38" s="100" t="n">
        <f aca="false">K38*J24</f>
        <v>10.7558075923618</v>
      </c>
      <c r="N38" s="127" t="n">
        <f aca="false">L38/M38</f>
        <v>24.2298929699591</v>
      </c>
    </row>
    <row r="39" customFormat="false" ht="12.8" hidden="false" customHeight="false" outlineLevel="0" collapsed="false">
      <c r="A39" s="71"/>
      <c r="B39" s="71"/>
      <c r="C39" s="71"/>
      <c r="D39" s="71"/>
      <c r="E39" s="71"/>
      <c r="F39" s="71"/>
      <c r="K39" s="128" t="n">
        <f aca="false">M32/$I$37</f>
        <v>3.04176240228672</v>
      </c>
      <c r="L39" s="129" t="n">
        <f aca="false">N32/K39</f>
        <v>390.918100152599</v>
      </c>
      <c r="M39" s="129" t="n">
        <f aca="false">K39*J24</f>
        <v>7.17053839490786</v>
      </c>
      <c r="N39" s="130" t="n">
        <f aca="false">L39/M39</f>
        <v>54.5172591824079</v>
      </c>
    </row>
    <row r="40" customFormat="false" ht="12.8" hidden="false" customHeight="false" outlineLevel="0" collapsed="false">
      <c r="A40" s="71"/>
      <c r="B40" s="71"/>
      <c r="C40" s="71"/>
      <c r="D40" s="71"/>
      <c r="E40" s="71"/>
      <c r="F40" s="71"/>
    </row>
    <row r="41" customFormat="false" ht="12.8" hidden="false" customHeight="false" outlineLevel="0" collapsed="false">
      <c r="A41" s="71"/>
      <c r="B41" s="71"/>
      <c r="C41" s="71"/>
      <c r="D41" s="71"/>
      <c r="E41" s="71"/>
      <c r="F41" s="71"/>
    </row>
    <row r="42" customFormat="false" ht="12.8" hidden="false" customHeight="false" outlineLevel="0" collapsed="false">
      <c r="A42" s="71"/>
      <c r="B42" s="71"/>
      <c r="C42" s="71"/>
      <c r="D42" s="71"/>
      <c r="E42" s="71"/>
      <c r="F42" s="71"/>
      <c r="I42" s="75" t="s">
        <v>78</v>
      </c>
      <c r="J42" s="75"/>
      <c r="K42" s="75"/>
      <c r="L42" s="75"/>
      <c r="M42" s="75"/>
      <c r="N42" s="75"/>
      <c r="O42" s="75"/>
      <c r="P42" s="75"/>
    </row>
    <row r="43" customFormat="false" ht="12.8" hidden="false" customHeight="false" outlineLevel="0" collapsed="false">
      <c r="A43" s="71"/>
      <c r="B43" s="71"/>
      <c r="C43" s="71"/>
      <c r="D43" s="71"/>
      <c r="E43" s="71"/>
      <c r="F43" s="71"/>
    </row>
    <row r="44" customFormat="false" ht="13.8" hidden="false" customHeight="false" outlineLevel="0" collapsed="false">
      <c r="A44" s="71"/>
      <c r="B44" s="71"/>
      <c r="C44" s="71"/>
      <c r="D44" s="71"/>
      <c r="E44" s="71"/>
      <c r="F44" s="71"/>
      <c r="I44" s="131" t="s">
        <v>79</v>
      </c>
      <c r="J44" s="132" t="s">
        <v>62</v>
      </c>
      <c r="K44" s="75" t="s">
        <v>80</v>
      </c>
      <c r="L44" s="132" t="s">
        <v>81</v>
      </c>
      <c r="M44" s="133" t="s">
        <v>82</v>
      </c>
      <c r="O44" s="2" t="s">
        <v>83</v>
      </c>
    </row>
    <row r="45" customFormat="false" ht="13.8" hidden="false" customHeight="false" outlineLevel="0" collapsed="false">
      <c r="A45" s="71"/>
      <c r="B45" s="71"/>
      <c r="C45" s="71"/>
      <c r="D45" s="71"/>
      <c r="E45" s="71"/>
      <c r="F45" s="71"/>
      <c r="I45" s="134" t="s">
        <v>84</v>
      </c>
      <c r="J45" s="135" t="n">
        <v>1</v>
      </c>
      <c r="K45" s="119" t="n">
        <f aca="false">J45/1000</f>
        <v>0.001</v>
      </c>
      <c r="L45" s="136" t="n">
        <v>30</v>
      </c>
      <c r="M45" s="137" t="n">
        <f aca="false">J45/L45</f>
        <v>0.0333333333333333</v>
      </c>
      <c r="O45" s="121" t="n">
        <v>4</v>
      </c>
    </row>
    <row r="46" customFormat="false" ht="12.8" hidden="false" customHeight="false" outlineLevel="0" collapsed="false">
      <c r="A46" s="71"/>
      <c r="B46" s="71"/>
      <c r="C46" s="71"/>
      <c r="D46" s="71"/>
      <c r="E46" s="71"/>
      <c r="F46" s="71"/>
      <c r="I46" s="138" t="s">
        <v>85</v>
      </c>
      <c r="J46" s="139" t="n">
        <v>1</v>
      </c>
      <c r="K46" s="52" t="n">
        <f aca="false">J46/1000</f>
        <v>0.001</v>
      </c>
      <c r="L46" s="140" t="n">
        <v>3</v>
      </c>
      <c r="M46" s="141" t="n">
        <f aca="false">J46/L46</f>
        <v>0.333333333333333</v>
      </c>
      <c r="O46" s="121" t="n">
        <v>14.2</v>
      </c>
    </row>
    <row r="47" customFormat="false" ht="12.8" hidden="false" customHeight="false" outlineLevel="0" collapsed="false">
      <c r="A47" s="71"/>
      <c r="B47" s="71"/>
      <c r="C47" s="71"/>
      <c r="D47" s="71"/>
      <c r="E47" s="71"/>
      <c r="F47" s="71"/>
      <c r="I47" s="142" t="s">
        <v>86</v>
      </c>
      <c r="J47" s="143" t="n">
        <v>4</v>
      </c>
      <c r="K47" s="144" t="n">
        <f aca="false">J47/1000</f>
        <v>0.004</v>
      </c>
      <c r="L47" s="145" t="n">
        <v>12</v>
      </c>
      <c r="M47" s="146" t="n">
        <f aca="false">J47/L47</f>
        <v>0.333333333333333</v>
      </c>
      <c r="O47" s="123" t="n">
        <v>2.6</v>
      </c>
    </row>
    <row r="48" customFormat="false" ht="12.8" hidden="false" customHeight="false" outlineLevel="0" collapsed="false">
      <c r="A48" s="71"/>
      <c r="B48" s="71"/>
      <c r="C48" s="71"/>
      <c r="D48" s="71"/>
      <c r="E48" s="71"/>
      <c r="F48" s="71"/>
    </row>
    <row r="49" customFormat="false" ht="12.8" hidden="false" customHeight="false" outlineLevel="0" collapsed="false">
      <c r="A49" s="71"/>
      <c r="B49" s="71"/>
      <c r="C49" s="71"/>
      <c r="D49" s="71"/>
      <c r="E49" s="71"/>
      <c r="F49" s="71"/>
    </row>
    <row r="50" customFormat="false" ht="13.8" hidden="false" customHeight="false" outlineLevel="0" collapsed="false">
      <c r="A50" s="71"/>
      <c r="B50" s="71"/>
      <c r="C50" s="71"/>
      <c r="D50" s="71"/>
      <c r="E50" s="71"/>
      <c r="F50" s="71"/>
      <c r="I50" s="110" t="s">
        <v>87</v>
      </c>
      <c r="J50" s="75" t="s">
        <v>88</v>
      </c>
      <c r="K50" s="133" t="s">
        <v>89</v>
      </c>
      <c r="N50" s="2" t="s">
        <v>90</v>
      </c>
      <c r="O50" s="2" t="s">
        <v>62</v>
      </c>
      <c r="P50" s="2" t="s">
        <v>91</v>
      </c>
    </row>
    <row r="51" customFormat="false" ht="12.8" hidden="false" customHeight="false" outlineLevel="0" collapsed="false">
      <c r="A51" s="71"/>
      <c r="B51" s="71"/>
      <c r="C51" s="71"/>
      <c r="D51" s="71"/>
      <c r="E51" s="71"/>
      <c r="F51" s="71"/>
      <c r="I51" s="147" t="n">
        <f aca="false">$M$45*$N$36</f>
        <v>1.08856345738654</v>
      </c>
      <c r="J51" s="148" t="n">
        <f aca="false">I51/1000</f>
        <v>0.00108856345738654</v>
      </c>
      <c r="K51" s="149" t="n">
        <f aca="false">J51*(1/K45)</f>
        <v>1.08856345738654</v>
      </c>
      <c r="N51" s="150" t="n">
        <f aca="false">K51/$O$45</f>
        <v>0.272140864346634</v>
      </c>
      <c r="O51" s="150" t="n">
        <f aca="false">N51*$M$36</f>
        <v>1.59997792699892</v>
      </c>
      <c r="P51" s="150" t="n">
        <f aca="false">($M$30*$J$21)/O51</f>
        <v>36.74567589843</v>
      </c>
    </row>
    <row r="52" customFormat="false" ht="12.8" hidden="false" customHeight="false" outlineLevel="0" collapsed="false">
      <c r="A52" s="71"/>
      <c r="B52" s="71"/>
      <c r="C52" s="71"/>
      <c r="D52" s="71"/>
      <c r="E52" s="71"/>
      <c r="F52" s="71"/>
      <c r="I52" s="151" t="n">
        <f aca="false">$M$46*$N$36</f>
        <v>10.8856345738654</v>
      </c>
      <c r="J52" s="152" t="n">
        <f aca="false">I52/1000</f>
        <v>0.0108856345738654</v>
      </c>
      <c r="K52" s="153" t="n">
        <f aca="false">J52*(1/K46)</f>
        <v>10.8856345738654</v>
      </c>
      <c r="N52" s="150" t="n">
        <f aca="false">K52/$O$46</f>
        <v>0.766593984075025</v>
      </c>
      <c r="O52" s="150" t="n">
        <f aca="false">N52*$M$36</f>
        <v>4.5069800760533</v>
      </c>
      <c r="P52" s="150" t="n">
        <f aca="false">($M$30*$J$21)/O52</f>
        <v>13.0447149439426</v>
      </c>
    </row>
    <row r="53" customFormat="false" ht="12.8" hidden="false" customHeight="false" outlineLevel="0" collapsed="false">
      <c r="A53" s="71"/>
      <c r="B53" s="71"/>
      <c r="C53" s="71"/>
      <c r="D53" s="71"/>
      <c r="E53" s="71"/>
      <c r="F53" s="71"/>
      <c r="I53" s="151" t="n">
        <f aca="false">$M$47*$N$36</f>
        <v>10.8856345738654</v>
      </c>
      <c r="J53" s="154" t="n">
        <f aca="false">I53/1000</f>
        <v>0.0108856345738654</v>
      </c>
      <c r="K53" s="153" t="n">
        <f aca="false">J53*(1/K47)</f>
        <v>2.72140864346634</v>
      </c>
      <c r="N53" s="150" t="n">
        <f aca="false">K53/$O$47</f>
        <v>1.04669563210244</v>
      </c>
      <c r="O53" s="150" t="n">
        <f aca="false">N53*$M$36</f>
        <v>6.15376125768816</v>
      </c>
      <c r="P53" s="150" t="n">
        <f aca="false">($M$30*$J$21)/O53</f>
        <v>9.55387573359179</v>
      </c>
    </row>
    <row r="54" customFormat="false" ht="12.8" hidden="false" customHeight="false" outlineLevel="0" collapsed="false">
      <c r="A54" s="71"/>
      <c r="B54" s="71"/>
      <c r="C54" s="71"/>
      <c r="D54" s="71"/>
      <c r="E54" s="71"/>
      <c r="F54" s="71"/>
      <c r="I54" s="155" t="n">
        <f aca="false">$M$45*$N$37</f>
        <v>2.4492677791197</v>
      </c>
      <c r="J54" s="156" t="n">
        <f aca="false">I54/1000</f>
        <v>0.0024492677791197</v>
      </c>
      <c r="K54" s="157" t="n">
        <f aca="false">J54*(1/K45)</f>
        <v>2.4492677791197</v>
      </c>
      <c r="N54" s="158" t="n">
        <f aca="false">K54/$O$45</f>
        <v>0.612316944779926</v>
      </c>
      <c r="O54" s="158" t="n">
        <f aca="false">N54*$M$37</f>
        <v>2.39996689049838</v>
      </c>
      <c r="P54" s="158" t="n">
        <f aca="false">($M$30*$J$21)/O54</f>
        <v>24.49711726562</v>
      </c>
    </row>
    <row r="55" customFormat="false" ht="12.8" hidden="false" customHeight="false" outlineLevel="0" collapsed="false">
      <c r="A55" s="71"/>
      <c r="B55" s="71"/>
      <c r="C55" s="71"/>
      <c r="D55" s="71"/>
      <c r="E55" s="71"/>
      <c r="F55" s="71"/>
      <c r="I55" s="155" t="n">
        <f aca="false">$M$46*$N$37</f>
        <v>24.492677791197</v>
      </c>
      <c r="J55" s="159" t="n">
        <f aca="false">I55/1000</f>
        <v>0.024492677791197</v>
      </c>
      <c r="K55" s="157" t="n">
        <f aca="false">J55*(1/K46)</f>
        <v>24.492677791197</v>
      </c>
      <c r="N55" s="158" t="n">
        <f aca="false">K55/$O$46</f>
        <v>1.72483646416881</v>
      </c>
      <c r="O55" s="158" t="n">
        <f aca="false">N55*$M$37</f>
        <v>6.76047011407995</v>
      </c>
      <c r="P55" s="158" t="n">
        <f aca="false">($M$30*$J$21)/O55</f>
        <v>8.69647662929509</v>
      </c>
    </row>
    <row r="56" customFormat="false" ht="12.8" hidden="false" customHeight="false" outlineLevel="0" collapsed="false">
      <c r="A56" s="71"/>
      <c r="B56" s="71"/>
      <c r="C56" s="71"/>
      <c r="D56" s="71"/>
      <c r="E56" s="71"/>
      <c r="F56" s="71"/>
      <c r="I56" s="155" t="n">
        <f aca="false">$M$47*$N$37</f>
        <v>24.492677791197</v>
      </c>
      <c r="J56" s="156" t="n">
        <f aca="false">I56/1000</f>
        <v>0.024492677791197</v>
      </c>
      <c r="K56" s="157" t="n">
        <f aca="false">J56*(1/K47)</f>
        <v>6.12316944779926</v>
      </c>
      <c r="N56" s="158" t="n">
        <f aca="false">K56/$O$47</f>
        <v>2.35506517223049</v>
      </c>
      <c r="O56" s="158" t="n">
        <f aca="false">N56*$M$37</f>
        <v>9.23064188653224</v>
      </c>
      <c r="P56" s="158" t="n">
        <f aca="false">($M$30*$J$21)/O56</f>
        <v>6.36925048906119</v>
      </c>
    </row>
    <row r="57" customFormat="false" ht="12.8" hidden="false" customHeight="false" outlineLevel="0" collapsed="false">
      <c r="A57" s="71"/>
      <c r="B57" s="71"/>
      <c r="C57" s="71"/>
      <c r="D57" s="71"/>
      <c r="E57" s="71"/>
      <c r="F57" s="71"/>
      <c r="I57" s="160" t="n">
        <f aca="false">$M$45*$N$38</f>
        <v>0.807663098998635</v>
      </c>
      <c r="J57" s="161" t="n">
        <f aca="false">I57/1000</f>
        <v>0.000807663098998635</v>
      </c>
      <c r="K57" s="162" t="n">
        <f aca="false">J57*(1/K45)</f>
        <v>0.807663098998635</v>
      </c>
      <c r="N57" s="163" t="n">
        <f aca="false">K57/$O$45</f>
        <v>0.201915774749659</v>
      </c>
      <c r="O57" s="163" t="n">
        <f aca="false">N57*$M$38</f>
        <v>2.17176722306999</v>
      </c>
      <c r="P57" s="163" t="n">
        <f aca="false">($M$32*$J$24)/O57</f>
        <v>49.5256005252601</v>
      </c>
    </row>
    <row r="58" customFormat="false" ht="12.8" hidden="false" customHeight="false" outlineLevel="0" collapsed="false">
      <c r="A58" s="71"/>
      <c r="B58" s="71"/>
      <c r="C58" s="71"/>
      <c r="D58" s="71"/>
      <c r="E58" s="71"/>
      <c r="F58" s="71"/>
      <c r="I58" s="160" t="n">
        <f aca="false">$M$46*$N$38</f>
        <v>8.07663098998635</v>
      </c>
      <c r="J58" s="164" t="n">
        <f aca="false">I58/1000</f>
        <v>0.00807663098998635</v>
      </c>
      <c r="K58" s="162" t="n">
        <f aca="false">J58*(1/K46)</f>
        <v>8.07663098998635</v>
      </c>
      <c r="N58" s="163" t="n">
        <f aca="false">K58/$O$46</f>
        <v>0.568776830280729</v>
      </c>
      <c r="O58" s="163" t="n">
        <f aca="false">N58*$M$38</f>
        <v>6.11765414949294</v>
      </c>
      <c r="P58" s="163" t="n">
        <f aca="false">($M$32*$J$24)/O58</f>
        <v>17.5815881864673</v>
      </c>
    </row>
    <row r="59" customFormat="false" ht="12.8" hidden="false" customHeight="false" outlineLevel="0" collapsed="false">
      <c r="A59" s="71"/>
      <c r="B59" s="71"/>
      <c r="C59" s="71"/>
      <c r="D59" s="71"/>
      <c r="E59" s="71"/>
      <c r="F59" s="71"/>
      <c r="I59" s="160" t="n">
        <f aca="false">$M$47*$N$38</f>
        <v>8.07663098998635</v>
      </c>
      <c r="J59" s="161" t="n">
        <f aca="false">I59/1000</f>
        <v>0.00807663098998635</v>
      </c>
      <c r="K59" s="162" t="n">
        <f aca="false">J59*(1/K47)</f>
        <v>2.01915774749659</v>
      </c>
      <c r="N59" s="163" t="n">
        <f aca="false">K59/$O$47</f>
        <v>0.776599133652534</v>
      </c>
      <c r="O59" s="163" t="n">
        <f aca="false">N59*$M$38</f>
        <v>8.35295085796152</v>
      </c>
      <c r="P59" s="163" t="n">
        <f aca="false">($M$32*$J$24)/O59</f>
        <v>12.8766561365676</v>
      </c>
    </row>
    <row r="60" customFormat="false" ht="12.8" hidden="false" customHeight="false" outlineLevel="0" collapsed="false">
      <c r="A60" s="71"/>
      <c r="B60" s="71"/>
      <c r="C60" s="71"/>
      <c r="D60" s="71"/>
      <c r="E60" s="71"/>
      <c r="F60" s="71"/>
      <c r="I60" s="165" t="n">
        <f aca="false">$M$45*$N$39</f>
        <v>1.81724197274693</v>
      </c>
      <c r="J60" s="166" t="n">
        <f aca="false">I60/1000</f>
        <v>0.00181724197274693</v>
      </c>
      <c r="K60" s="167" t="n">
        <f aca="false">J60*(1/K45)</f>
        <v>1.81724197274693</v>
      </c>
      <c r="N60" s="168" t="n">
        <f aca="false">K60/$O$45</f>
        <v>0.454310493186732</v>
      </c>
      <c r="O60" s="168" t="n">
        <f aca="false">N60*$M$39</f>
        <v>3.25765083460499</v>
      </c>
      <c r="P60" s="168" t="n">
        <f aca="false">($M$32*$J$24)/O60</f>
        <v>33.0170670168401</v>
      </c>
    </row>
    <row r="61" customFormat="false" ht="12.8" hidden="false" customHeight="false" outlineLevel="0" collapsed="false">
      <c r="A61" s="71"/>
      <c r="B61" s="71"/>
      <c r="C61" s="71"/>
      <c r="D61" s="71"/>
      <c r="E61" s="71"/>
      <c r="F61" s="71"/>
      <c r="I61" s="165" t="n">
        <f aca="false">$M$46*$N$39</f>
        <v>18.1724197274693</v>
      </c>
      <c r="J61" s="169" t="n">
        <f aca="false">I61/1000</f>
        <v>0.0181724197274693</v>
      </c>
      <c r="K61" s="167" t="n">
        <f aca="false">J61*(1/K46)</f>
        <v>18.1724197274693</v>
      </c>
      <c r="N61" s="168" t="n">
        <f aca="false">K61/$O$46</f>
        <v>1.27974786813164</v>
      </c>
      <c r="O61" s="168" t="n">
        <f aca="false">N61*$M$39</f>
        <v>9.17648122423942</v>
      </c>
      <c r="P61" s="168" t="n">
        <f aca="false">($M$32*$J$24)/O61</f>
        <v>11.7210587909782</v>
      </c>
    </row>
    <row r="62" customFormat="false" ht="12.8" hidden="false" customHeight="false" outlineLevel="0" collapsed="false">
      <c r="A62" s="71"/>
      <c r="B62" s="71"/>
      <c r="C62" s="71"/>
      <c r="D62" s="71"/>
      <c r="E62" s="71"/>
      <c r="F62" s="71"/>
      <c r="I62" s="170" t="n">
        <f aca="false">$M$47*$N$39</f>
        <v>18.1724197274693</v>
      </c>
      <c r="J62" s="171" t="n">
        <f aca="false">I62/1000</f>
        <v>0.0181724197274693</v>
      </c>
      <c r="K62" s="172" t="n">
        <f aca="false">J62*(1/K47)</f>
        <v>4.54310493186732</v>
      </c>
      <c r="N62" s="173" t="n">
        <f aca="false">K62/$O$47</f>
        <v>1.7473480507182</v>
      </c>
      <c r="O62" s="173" t="n">
        <f aca="false">N62*$M$39</f>
        <v>12.5294262869423</v>
      </c>
      <c r="P62" s="173" t="n">
        <f aca="false">($M$32*$J$24)/O62</f>
        <v>8.58443742437841</v>
      </c>
    </row>
    <row r="63" customFormat="false" ht="12.8" hidden="false" customHeight="false" outlineLevel="0" collapsed="false">
      <c r="A63" s="71"/>
      <c r="B63" s="71"/>
      <c r="C63" s="71"/>
      <c r="D63" s="71"/>
      <c r="E63" s="71"/>
      <c r="F63" s="71"/>
    </row>
    <row r="64" customFormat="false" ht="12.8" hidden="false" customHeight="false" outlineLevel="0" collapsed="false">
      <c r="A64" s="71"/>
      <c r="B64" s="71"/>
      <c r="C64" s="71"/>
      <c r="D64" s="71"/>
      <c r="E64" s="71"/>
      <c r="F64" s="71"/>
      <c r="I64" s="75" t="s">
        <v>92</v>
      </c>
      <c r="J64" s="75"/>
      <c r="K64" s="75"/>
      <c r="L64" s="75"/>
      <c r="M64" s="75"/>
    </row>
    <row r="65" customFormat="false" ht="12.8" hidden="false" customHeight="false" outlineLevel="0" collapsed="false">
      <c r="A65" s="71"/>
      <c r="B65" s="71"/>
      <c r="C65" s="71"/>
      <c r="D65" s="71"/>
      <c r="E65" s="71"/>
      <c r="F65" s="71"/>
    </row>
    <row r="66" customFormat="false" ht="12.8" hidden="false" customHeight="false" outlineLevel="0" collapsed="false">
      <c r="A66" s="71"/>
      <c r="B66" s="71"/>
      <c r="C66" s="71"/>
      <c r="D66" s="71"/>
      <c r="E66" s="71"/>
      <c r="F66" s="71"/>
      <c r="I66" s="75" t="s">
        <v>93</v>
      </c>
      <c r="J66" s="75"/>
      <c r="K66" s="75"/>
      <c r="L66" s="75"/>
      <c r="M66" s="75"/>
    </row>
    <row r="67" customFormat="false" ht="12.8" hidden="false" customHeight="false" outlineLevel="0" collapsed="false">
      <c r="A67" s="71"/>
      <c r="B67" s="71"/>
      <c r="C67" s="71"/>
      <c r="D67" s="71"/>
      <c r="E67" s="71"/>
      <c r="F67" s="71"/>
      <c r="I67" s="75" t="s">
        <v>64</v>
      </c>
    </row>
    <row r="68" customFormat="false" ht="12.8" hidden="false" customHeight="false" outlineLevel="0" collapsed="false">
      <c r="A68" s="71"/>
      <c r="B68" s="71"/>
      <c r="C68" s="71"/>
      <c r="D68" s="71"/>
      <c r="E68" s="71"/>
      <c r="F68" s="71"/>
      <c r="I68" s="174" t="n">
        <v>250</v>
      </c>
    </row>
    <row r="69" customFormat="false" ht="12.8" hidden="false" customHeight="false" outlineLevel="0" collapsed="false">
      <c r="A69" s="71"/>
      <c r="B69" s="71"/>
      <c r="C69" s="71"/>
      <c r="D69" s="71"/>
      <c r="E69" s="71"/>
      <c r="F69" s="71"/>
      <c r="I69" s="110" t="s">
        <v>61</v>
      </c>
      <c r="J69" s="75" t="s">
        <v>64</v>
      </c>
      <c r="K69" s="75" t="s">
        <v>94</v>
      </c>
      <c r="L69" s="75" t="s">
        <v>95</v>
      </c>
      <c r="M69" s="23" t="s">
        <v>96</v>
      </c>
    </row>
    <row r="70" customFormat="false" ht="12.8" hidden="false" customHeight="false" outlineLevel="0" collapsed="false">
      <c r="A70" s="71"/>
      <c r="B70" s="71"/>
      <c r="C70" s="71"/>
      <c r="D70" s="71"/>
      <c r="E70" s="71"/>
      <c r="F70" s="71"/>
      <c r="I70" s="175" t="s">
        <v>43</v>
      </c>
      <c r="J70" s="176" t="n">
        <f aca="false">($J$21/M36)*$I$68</f>
        <v>73.8499527922958</v>
      </c>
      <c r="K70" s="92" t="n">
        <f aca="false">$L$19/$L$21</f>
        <v>0.424202791305994</v>
      </c>
      <c r="L70" s="92" t="n">
        <f aca="false">J70*K70</f>
        <v>31.3273561123077</v>
      </c>
      <c r="M70" s="177" t="n">
        <f aca="false">L70*($O$3/1000)</f>
        <v>27.9776483498794</v>
      </c>
    </row>
    <row r="71" customFormat="false" ht="12.8" hidden="false" customHeight="false" outlineLevel="0" collapsed="false">
      <c r="A71" s="71"/>
      <c r="B71" s="71"/>
      <c r="C71" s="71"/>
      <c r="D71" s="71"/>
      <c r="E71" s="71"/>
      <c r="F71" s="71"/>
      <c r="I71" s="175" t="s">
        <v>44</v>
      </c>
      <c r="J71" s="176"/>
      <c r="K71" s="92" t="n">
        <f aca="false">$L$20/$L$21</f>
        <v>0.575797208694006</v>
      </c>
      <c r="L71" s="92" t="n">
        <f aca="false">J70*K71</f>
        <v>42.522596679988</v>
      </c>
      <c r="M71" s="177" t="n">
        <f aca="false">L71*($P$3/1000)</f>
        <v>53.5784718167849</v>
      </c>
    </row>
    <row r="72" customFormat="false" ht="12.8" hidden="false" customHeight="false" outlineLevel="0" collapsed="false">
      <c r="A72" s="71"/>
      <c r="B72" s="71"/>
      <c r="C72" s="71"/>
      <c r="D72" s="71"/>
      <c r="E72" s="71"/>
      <c r="F72" s="71"/>
      <c r="I72" s="178" t="s">
        <v>43</v>
      </c>
      <c r="J72" s="125" t="n">
        <f aca="false">($J$21/M37)*$I$68</f>
        <v>110.774929188444</v>
      </c>
      <c r="K72" s="125" t="n">
        <f aca="false">$L$19/$L$21</f>
        <v>0.424202791305994</v>
      </c>
      <c r="L72" s="125" t="n">
        <f aca="false">J72*K72</f>
        <v>46.9910341684616</v>
      </c>
      <c r="M72" s="126" t="n">
        <f aca="false">L72*($O$3/1000)</f>
        <v>41.9664725248191</v>
      </c>
    </row>
    <row r="73" customFormat="false" ht="12.8" hidden="false" customHeight="false" outlineLevel="0" collapsed="false">
      <c r="A73" s="71"/>
      <c r="B73" s="71"/>
      <c r="C73" s="71"/>
      <c r="D73" s="71"/>
      <c r="E73" s="71"/>
      <c r="F73" s="71"/>
      <c r="I73" s="178" t="s">
        <v>44</v>
      </c>
      <c r="J73" s="125"/>
      <c r="K73" s="125" t="n">
        <f aca="false">$L$20/$L$21</f>
        <v>0.575797208694006</v>
      </c>
      <c r="L73" s="125" t="n">
        <f aca="false">J72*K73</f>
        <v>63.783895019982</v>
      </c>
      <c r="M73" s="126" t="n">
        <f aca="false">L73*($P$3/1000)</f>
        <v>80.3677077251774</v>
      </c>
    </row>
    <row r="74" customFormat="false" ht="12.8" hidden="false" customHeight="false" outlineLevel="0" collapsed="false">
      <c r="A74" s="71"/>
      <c r="B74" s="71"/>
      <c r="C74" s="71"/>
      <c r="D74" s="71"/>
      <c r="E74" s="71"/>
      <c r="F74" s="71"/>
      <c r="I74" s="179" t="s">
        <v>43</v>
      </c>
      <c r="J74" s="180" t="n">
        <f aca="false">($J$24/M38)*$I$68</f>
        <v>54.7927959597933</v>
      </c>
      <c r="K74" s="104" t="n">
        <f aca="false">$L$22/$L$24</f>
        <v>0.424202791305994</v>
      </c>
      <c r="L74" s="104" t="n">
        <f aca="false">J74*K74</f>
        <v>23.2432569896041</v>
      </c>
      <c r="M74" s="181" t="n">
        <f aca="false">L74*($O$3/1000)</f>
        <v>20.7579493216645</v>
      </c>
    </row>
    <row r="75" customFormat="false" ht="12.8" hidden="false" customHeight="false" outlineLevel="0" collapsed="false">
      <c r="A75" s="71"/>
      <c r="B75" s="71"/>
      <c r="C75" s="71"/>
      <c r="D75" s="71"/>
      <c r="E75" s="71"/>
      <c r="F75" s="71"/>
      <c r="I75" s="179" t="s">
        <v>44</v>
      </c>
      <c r="J75" s="180"/>
      <c r="K75" s="104" t="n">
        <f aca="false">$L$23/$L$24</f>
        <v>0.575797208694006</v>
      </c>
      <c r="L75" s="104" t="n">
        <f aca="false">J74*K75</f>
        <v>31.5495389701892</v>
      </c>
      <c r="M75" s="181" t="n">
        <f aca="false">L75*($P$3/1000)</f>
        <v>39.7524191024384</v>
      </c>
    </row>
    <row r="76" customFormat="false" ht="12.8" hidden="false" customHeight="false" outlineLevel="0" collapsed="false">
      <c r="A76" s="71"/>
      <c r="B76" s="71"/>
      <c r="C76" s="71"/>
      <c r="D76" s="71"/>
      <c r="E76" s="71"/>
      <c r="F76" s="71"/>
      <c r="I76" s="182" t="s">
        <v>43</v>
      </c>
      <c r="J76" s="129" t="n">
        <f aca="false">($J$24/M39)*$I$68</f>
        <v>82.1891939396899</v>
      </c>
      <c r="K76" s="183" t="n">
        <f aca="false">$L$22/$L$24</f>
        <v>0.424202791305994</v>
      </c>
      <c r="L76" s="183" t="n">
        <f aca="false">J76*K76</f>
        <v>34.8648854844061</v>
      </c>
      <c r="M76" s="184" t="n">
        <f aca="false">L76*($O$3/1000)</f>
        <v>31.1369239824967</v>
      </c>
    </row>
    <row r="77" customFormat="false" ht="12.8" hidden="false" customHeight="false" outlineLevel="0" collapsed="false">
      <c r="A77" s="71"/>
      <c r="B77" s="71"/>
      <c r="C77" s="71"/>
      <c r="D77" s="71"/>
      <c r="E77" s="71"/>
      <c r="F77" s="71"/>
      <c r="I77" s="185" t="s">
        <v>44</v>
      </c>
      <c r="J77" s="129"/>
      <c r="K77" s="129" t="n">
        <f aca="false">$L$23/$L$24</f>
        <v>0.575797208694006</v>
      </c>
      <c r="L77" s="129" t="n">
        <f aca="false">J76*K77</f>
        <v>47.3243084552838</v>
      </c>
      <c r="M77" s="130" t="n">
        <f aca="false">L77*($P$3/1000)</f>
        <v>59.6286286536575</v>
      </c>
    </row>
    <row r="78" customFormat="false" ht="12.8" hidden="false" customHeight="false" outlineLevel="0" collapsed="false">
      <c r="A78" s="71"/>
      <c r="B78" s="71"/>
      <c r="C78" s="71"/>
      <c r="D78" s="71"/>
      <c r="E78" s="71"/>
      <c r="F78" s="71"/>
    </row>
    <row r="79" customFormat="false" ht="12.8" hidden="false" customHeight="false" outlineLevel="0" collapsed="false">
      <c r="A79" s="71"/>
      <c r="B79" s="71"/>
      <c r="C79" s="71"/>
      <c r="D79" s="71"/>
      <c r="E79" s="71"/>
      <c r="F79" s="71"/>
      <c r="I79" s="75" t="s">
        <v>97</v>
      </c>
      <c r="J79" s="75"/>
      <c r="K79" s="75"/>
      <c r="L79" s="75"/>
      <c r="M79" s="75"/>
    </row>
    <row r="80" customFormat="false" ht="12.8" hidden="false" customHeight="false" outlineLevel="0" collapsed="false">
      <c r="A80" s="71"/>
      <c r="B80" s="71"/>
      <c r="C80" s="71"/>
      <c r="D80" s="71"/>
      <c r="E80" s="71"/>
      <c r="F80" s="71"/>
      <c r="I80" s="75" t="s">
        <v>64</v>
      </c>
      <c r="J80" s="75" t="s">
        <v>98</v>
      </c>
      <c r="K80" s="60" t="s">
        <v>99</v>
      </c>
    </row>
    <row r="81" customFormat="false" ht="12.8" hidden="false" customHeight="false" outlineLevel="0" collapsed="false">
      <c r="A81" s="71"/>
      <c r="B81" s="71"/>
      <c r="C81" s="71"/>
      <c r="D81" s="71"/>
      <c r="E81" s="71"/>
      <c r="F81" s="71"/>
      <c r="I81" s="174" t="n">
        <v>500</v>
      </c>
      <c r="J81" s="186" t="n">
        <v>4</v>
      </c>
      <c r="K81" s="150" t="n">
        <f aca="false" t="array" ref="K81:K84">INDEX($O51:$O$62,_xlfn.SEQUENCE(4,,MATCH($J$81,$O$45:$O$47,0),3))</f>
        <v>1.59997792699892</v>
      </c>
    </row>
    <row r="82" customFormat="false" ht="12.8" hidden="false" customHeight="false" outlineLevel="0" collapsed="false">
      <c r="A82" s="71"/>
      <c r="B82" s="71"/>
      <c r="C82" s="71"/>
      <c r="D82" s="71"/>
      <c r="E82" s="71"/>
      <c r="F82" s="71"/>
      <c r="K82" s="158" t="n">
        <v>2.39996689049838</v>
      </c>
    </row>
    <row r="83" customFormat="false" ht="12.8" hidden="false" customHeight="false" outlineLevel="0" collapsed="false">
      <c r="A83" s="71"/>
      <c r="B83" s="71"/>
      <c r="C83" s="71"/>
      <c r="D83" s="71"/>
      <c r="E83" s="71"/>
      <c r="F83" s="71"/>
      <c r="K83" s="163" t="n">
        <v>2.17176722306999</v>
      </c>
    </row>
    <row r="84" customFormat="false" ht="12.8" hidden="false" customHeight="false" outlineLevel="0" collapsed="false">
      <c r="A84" s="71"/>
      <c r="B84" s="71"/>
      <c r="C84" s="71"/>
      <c r="D84" s="71"/>
      <c r="E84" s="71"/>
      <c r="F84" s="71"/>
      <c r="K84" s="173" t="n">
        <v>3.25765083460499</v>
      </c>
    </row>
    <row r="85" customFormat="false" ht="12.8" hidden="false" customHeight="false" outlineLevel="0" collapsed="false">
      <c r="A85" s="71"/>
      <c r="B85" s="71"/>
      <c r="C85" s="71"/>
      <c r="D85" s="71"/>
      <c r="E85" s="71"/>
      <c r="F85" s="71"/>
    </row>
    <row r="86" customFormat="false" ht="12.8" hidden="false" customHeight="false" outlineLevel="0" collapsed="false">
      <c r="A86" s="71"/>
      <c r="B86" s="71"/>
      <c r="C86" s="71"/>
      <c r="D86" s="71"/>
      <c r="E86" s="71"/>
      <c r="F86" s="71"/>
      <c r="I86" s="110" t="s">
        <v>61</v>
      </c>
      <c r="J86" s="75" t="s">
        <v>64</v>
      </c>
      <c r="K86" s="75" t="s">
        <v>94</v>
      </c>
      <c r="L86" s="75" t="s">
        <v>95</v>
      </c>
      <c r="M86" s="23" t="s">
        <v>96</v>
      </c>
    </row>
    <row r="87" customFormat="false" ht="12.8" hidden="false" customHeight="false" outlineLevel="0" collapsed="false">
      <c r="A87" s="71"/>
      <c r="B87" s="71"/>
      <c r="C87" s="71"/>
      <c r="D87" s="71"/>
      <c r="E87" s="71"/>
      <c r="F87" s="71"/>
      <c r="I87" s="175" t="s">
        <v>43</v>
      </c>
      <c r="J87" s="176" t="n">
        <f aca="false">($J$21/K81)*$I$81</f>
        <v>542.733286084012</v>
      </c>
      <c r="K87" s="92" t="n">
        <f aca="false">$L$19/$L$21</f>
        <v>0.424202791305994</v>
      </c>
      <c r="L87" s="92" t="n">
        <f aca="false">J87*K87</f>
        <v>230.228974891513</v>
      </c>
      <c r="M87" s="177" t="n">
        <f aca="false">L87*($O$3/1000)</f>
        <v>205.611519732983</v>
      </c>
    </row>
    <row r="88" customFormat="false" ht="12.8" hidden="false" customHeight="false" outlineLevel="0" collapsed="false">
      <c r="A88" s="71"/>
      <c r="B88" s="71"/>
      <c r="C88" s="71"/>
      <c r="D88" s="71"/>
      <c r="E88" s="71"/>
      <c r="F88" s="71"/>
      <c r="I88" s="175" t="s">
        <v>44</v>
      </c>
      <c r="J88" s="176"/>
      <c r="K88" s="92" t="n">
        <f aca="false">$L$20/$L$21</f>
        <v>0.575797208694006</v>
      </c>
      <c r="L88" s="92" t="n">
        <f aca="false">J87*K88</f>
        <v>312.5043111925</v>
      </c>
      <c r="M88" s="177" t="n">
        <f aca="false">L88*($P$3/1000)</f>
        <v>393.75543210255</v>
      </c>
    </row>
    <row r="89" customFormat="false" ht="12.8" hidden="false" customHeight="false" outlineLevel="0" collapsed="false">
      <c r="A89" s="71"/>
      <c r="B89" s="71"/>
      <c r="C89" s="71"/>
      <c r="D89" s="71"/>
      <c r="E89" s="71"/>
      <c r="F89" s="71"/>
      <c r="I89" s="178" t="s">
        <v>43</v>
      </c>
      <c r="J89" s="125" t="n">
        <f aca="false">($J$21/K82)*$I$81</f>
        <v>361.822190722675</v>
      </c>
      <c r="K89" s="125" t="n">
        <f aca="false">$L$19/$L$21</f>
        <v>0.424202791305994</v>
      </c>
      <c r="L89" s="125" t="n">
        <f aca="false">J89*K89</f>
        <v>153.485983261008</v>
      </c>
      <c r="M89" s="126" t="n">
        <f aca="false">L89*($O$3/1000)</f>
        <v>137.074346488656</v>
      </c>
    </row>
    <row r="90" customFormat="false" ht="12.8" hidden="false" customHeight="false" outlineLevel="0" collapsed="false">
      <c r="A90" s="71"/>
      <c r="B90" s="71"/>
      <c r="C90" s="71"/>
      <c r="D90" s="71"/>
      <c r="E90" s="71"/>
      <c r="F90" s="71"/>
      <c r="I90" s="178" t="s">
        <v>44</v>
      </c>
      <c r="J90" s="125"/>
      <c r="K90" s="125" t="n">
        <f aca="false">$L$20/$L$21</f>
        <v>0.575797208694006</v>
      </c>
      <c r="L90" s="125" t="n">
        <f aca="false">J89*K90</f>
        <v>208.336207461667</v>
      </c>
      <c r="M90" s="126" t="n">
        <f aca="false">L90*($P$3/1000)</f>
        <v>262.5036214017</v>
      </c>
    </row>
    <row r="91" customFormat="false" ht="12.8" hidden="false" customHeight="false" outlineLevel="0" collapsed="false">
      <c r="A91" s="71"/>
      <c r="B91" s="71"/>
      <c r="C91" s="71"/>
      <c r="D91" s="71"/>
      <c r="E91" s="71"/>
      <c r="F91" s="71"/>
      <c r="I91" s="179" t="s">
        <v>43</v>
      </c>
      <c r="J91" s="180" t="n">
        <f aca="false">($J$24/K83)*$I$81</f>
        <v>542.729224873362</v>
      </c>
      <c r="K91" s="104" t="n">
        <f aca="false">$L$22/$L$24</f>
        <v>0.424202791305994</v>
      </c>
      <c r="L91" s="104" t="n">
        <f aca="false">J91*K91</f>
        <v>230.227252114619</v>
      </c>
      <c r="M91" s="181" t="n">
        <f aca="false">L91*($O$3/1000)</f>
        <v>205.60998116567</v>
      </c>
    </row>
    <row r="92" customFormat="false" ht="12.8" hidden="false" customHeight="false" outlineLevel="0" collapsed="false">
      <c r="A92" s="71"/>
      <c r="B92" s="71"/>
      <c r="C92" s="71"/>
      <c r="D92" s="71"/>
      <c r="E92" s="71"/>
      <c r="F92" s="71"/>
      <c r="I92" s="179" t="s">
        <v>44</v>
      </c>
      <c r="J92" s="180"/>
      <c r="K92" s="104" t="n">
        <f aca="false">$L$23/$L$24</f>
        <v>0.575797208694006</v>
      </c>
      <c r="L92" s="104" t="n">
        <f aca="false">J91*K92</f>
        <v>312.501972758743</v>
      </c>
      <c r="M92" s="181" t="n">
        <f aca="false">L92*($P$3/1000)</f>
        <v>393.752485676017</v>
      </c>
    </row>
    <row r="93" customFormat="false" ht="12.8" hidden="false" customHeight="false" outlineLevel="0" collapsed="false">
      <c r="A93" s="71"/>
      <c r="B93" s="71"/>
      <c r="C93" s="71"/>
      <c r="D93" s="71"/>
      <c r="E93" s="71"/>
      <c r="F93" s="71"/>
      <c r="I93" s="182" t="s">
        <v>43</v>
      </c>
      <c r="J93" s="129" t="n">
        <f aca="false">($J$24/K84)*$I$81</f>
        <v>361.819483248908</v>
      </c>
      <c r="K93" s="183" t="n">
        <f aca="false">$L$22/$L$24</f>
        <v>0.424202791305994</v>
      </c>
      <c r="L93" s="183" t="n">
        <f aca="false">J93*K93</f>
        <v>153.484834743079</v>
      </c>
      <c r="M93" s="184" t="n">
        <f aca="false">L93*($O$3/1000)</f>
        <v>137.073320777113</v>
      </c>
    </row>
    <row r="94" customFormat="false" ht="12.8" hidden="false" customHeight="false" outlineLevel="0" collapsed="false">
      <c r="A94" s="71"/>
      <c r="B94" s="71"/>
      <c r="C94" s="71"/>
      <c r="D94" s="71"/>
      <c r="E94" s="71"/>
      <c r="F94" s="71"/>
      <c r="I94" s="185" t="s">
        <v>44</v>
      </c>
      <c r="J94" s="129"/>
      <c r="K94" s="129" t="n">
        <f aca="false">$L$23/$L$24</f>
        <v>0.575797208694006</v>
      </c>
      <c r="L94" s="129" t="n">
        <f aca="false">J93*K94</f>
        <v>208.334648505829</v>
      </c>
      <c r="M94" s="130" t="n">
        <f aca="false">L94*($P$3/1000)</f>
        <v>262.501657117344</v>
      </c>
    </row>
    <row r="95" customFormat="false" ht="12.8" hidden="false" customHeight="false" outlineLevel="0" collapsed="false">
      <c r="A95" s="71"/>
      <c r="B95" s="71"/>
      <c r="C95" s="71"/>
      <c r="D95" s="71"/>
      <c r="E95" s="71"/>
      <c r="F95" s="71"/>
    </row>
    <row r="96" customFormat="false" ht="12.8" hidden="false" customHeight="false" outlineLevel="0" collapsed="false">
      <c r="A96" s="71"/>
      <c r="B96" s="71"/>
      <c r="C96" s="71"/>
      <c r="D96" s="71"/>
      <c r="E96" s="71"/>
      <c r="F96" s="71"/>
    </row>
    <row r="97" customFormat="false" ht="12.8" hidden="false" customHeight="false" outlineLevel="0" collapsed="false">
      <c r="A97" s="71"/>
      <c r="B97" s="71"/>
      <c r="C97" s="71"/>
      <c r="D97" s="71"/>
      <c r="E97" s="71"/>
      <c r="F97" s="71"/>
    </row>
    <row r="98" customFormat="false" ht="12.8" hidden="false" customHeight="false" outlineLevel="0" collapsed="false">
      <c r="A98" s="71"/>
      <c r="B98" s="71"/>
      <c r="C98" s="71"/>
      <c r="D98" s="71"/>
      <c r="E98" s="71"/>
      <c r="F98" s="71"/>
    </row>
    <row r="99" customFormat="false" ht="12.8" hidden="false" customHeight="false" outlineLevel="0" collapsed="false">
      <c r="A99" s="71"/>
      <c r="B99" s="71"/>
      <c r="C99" s="71"/>
      <c r="D99" s="71"/>
      <c r="E99" s="71"/>
      <c r="F99" s="71"/>
    </row>
    <row r="100" customFormat="false" ht="12.8" hidden="false" customHeight="false" outlineLevel="0" collapsed="false">
      <c r="A100" s="187"/>
      <c r="B100" s="187"/>
      <c r="C100" s="187"/>
      <c r="D100" s="187"/>
      <c r="E100" s="187"/>
      <c r="F100" s="187"/>
    </row>
  </sheetData>
  <mergeCells count="41">
    <mergeCell ref="I10:P10"/>
    <mergeCell ref="I12:J12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I27:P27"/>
    <mergeCell ref="K30:K31"/>
    <mergeCell ref="L30:L31"/>
    <mergeCell ref="M30:M31"/>
    <mergeCell ref="N30:N31"/>
    <mergeCell ref="O30:O31"/>
    <mergeCell ref="P30:P31"/>
    <mergeCell ref="K32:K33"/>
    <mergeCell ref="L32:L33"/>
    <mergeCell ref="M32:M33"/>
    <mergeCell ref="N32:N33"/>
    <mergeCell ref="O32:O33"/>
    <mergeCell ref="P32:P33"/>
    <mergeCell ref="I42:P42"/>
    <mergeCell ref="I64:M64"/>
    <mergeCell ref="I66:M66"/>
    <mergeCell ref="J70:J71"/>
    <mergeCell ref="J72:J73"/>
    <mergeCell ref="J74:J75"/>
    <mergeCell ref="J76:J77"/>
    <mergeCell ref="I79:M79"/>
    <mergeCell ref="J87:J88"/>
    <mergeCell ref="J89:J90"/>
    <mergeCell ref="J91:J92"/>
    <mergeCell ref="J93:J94"/>
  </mergeCells>
  <dataValidations count="2">
    <dataValidation allowBlank="true" errorStyle="stop" operator="equal" showDropDown="false" showErrorMessage="true" showInputMessage="false" sqref="J2:K2" type="list">
      <formula1>COV!$A$2:$A$100</formula1>
      <formula2>0</formula2>
    </dataValidation>
    <dataValidation allowBlank="true" errorStyle="stop" operator="equal" showDropDown="false" showErrorMessage="true" showInputMessage="false" sqref="J81" type="list">
      <formula1>COV!$O$45:$O$47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3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M3" activeCellId="0" sqref="M3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50" width="11.53"/>
    <col collapsed="false" customWidth="true" hidden="false" outlineLevel="0" max="2" min="2" style="50" width="15.76"/>
    <col collapsed="false" customWidth="false" hidden="false" outlineLevel="0" max="5" min="3" style="50" width="11.53"/>
    <col collapsed="false" customWidth="true" hidden="false" outlineLevel="0" max="6" min="6" style="50" width="11.12"/>
    <col collapsed="false" customWidth="true" hidden="false" outlineLevel="0" max="9" min="9" style="0" width="17.01"/>
    <col collapsed="false" customWidth="true" hidden="false" outlineLevel="0" max="10" min="10" style="0" width="18.08"/>
    <col collapsed="false" customWidth="true" hidden="false" outlineLevel="0" max="11" min="11" style="0" width="18.54"/>
    <col collapsed="false" customWidth="true" hidden="false" outlineLevel="0" max="12" min="12" style="0" width="21.6"/>
    <col collapsed="false" customWidth="true" hidden="false" outlineLevel="0" max="13" min="13" style="0" width="16.27"/>
    <col collapsed="false" customWidth="true" hidden="false" outlineLevel="0" max="14" min="14" style="0" width="21.6"/>
    <col collapsed="false" customWidth="true" hidden="false" outlineLevel="0" max="15" min="15" style="0" width="15.58"/>
    <col collapsed="false" customWidth="true" hidden="false" outlineLevel="0" max="16" min="16" style="0" width="18.22"/>
    <col collapsed="false" customWidth="true" hidden="false" outlineLevel="0" max="17" min="17" style="0" width="14.19"/>
  </cols>
  <sheetData>
    <row r="1" customFormat="false" ht="12.8" hidden="false" customHeight="false" outlineLevel="0" collapsed="false">
      <c r="A1" s="51" t="s">
        <v>39</v>
      </c>
      <c r="B1" s="51" t="s">
        <v>40</v>
      </c>
      <c r="C1" s="51" t="s">
        <v>41</v>
      </c>
      <c r="D1" s="51" t="s">
        <v>42</v>
      </c>
      <c r="E1" s="51" t="s">
        <v>17</v>
      </c>
      <c r="F1" s="51" t="s">
        <v>22</v>
      </c>
      <c r="I1" s="52"/>
      <c r="J1" s="53" t="s">
        <v>43</v>
      </c>
      <c r="K1" s="54" t="s">
        <v>44</v>
      </c>
      <c r="L1" s="14" t="s">
        <v>100</v>
      </c>
      <c r="M1" s="55"/>
      <c r="N1" s="52"/>
      <c r="O1" s="53" t="s">
        <v>43</v>
      </c>
      <c r="P1" s="54" t="s">
        <v>44</v>
      </c>
      <c r="Q1" s="14" t="s">
        <v>44</v>
      </c>
    </row>
    <row r="2" customFormat="false" ht="12.8" hidden="false" customHeight="false" outlineLevel="0" collapsed="false">
      <c r="A2" s="56" t="s">
        <v>10</v>
      </c>
      <c r="B2" s="57" t="n">
        <f aca="false">Caracterizacao!J3</f>
        <v>1068.43760252525</v>
      </c>
      <c r="C2" s="56" t="n">
        <f aca="false">Caracterizacao!I28/1000</f>
        <v>1.7786</v>
      </c>
      <c r="D2" s="58" t="n">
        <f aca="false">Caracterizacao!M28/1000</f>
        <v>0.28176</v>
      </c>
      <c r="E2" s="59" t="n">
        <f aca="false">Caracterizacao!I14</f>
        <v>536.39975270356</v>
      </c>
      <c r="F2" s="57" t="n">
        <f aca="false">Caracterizacao!N14</f>
        <v>520.806779510477</v>
      </c>
      <c r="I2" s="60" t="s">
        <v>39</v>
      </c>
      <c r="J2" s="61" t="s">
        <v>10</v>
      </c>
      <c r="K2" s="62" t="s">
        <v>45</v>
      </c>
      <c r="L2" s="188" t="s">
        <v>46</v>
      </c>
      <c r="M2" s="63"/>
      <c r="N2" s="60" t="s">
        <v>47</v>
      </c>
      <c r="O2" s="64" t="n">
        <v>1</v>
      </c>
      <c r="P2" s="65" t="n">
        <v>1</v>
      </c>
      <c r="Q2" s="189" t="n">
        <v>100</v>
      </c>
    </row>
    <row r="3" customFormat="false" ht="12.8" hidden="false" customHeight="false" outlineLevel="0" collapsed="false">
      <c r="A3" s="66" t="s">
        <v>45</v>
      </c>
      <c r="B3" s="67" t="n">
        <f aca="false">Caracterizacao!J5</f>
        <v>893.074035663281</v>
      </c>
      <c r="C3" s="66" t="n">
        <f aca="false">Caracterizacao!I30/1000</f>
        <v>5.5232</v>
      </c>
      <c r="D3" s="66" t="n">
        <f aca="false">Caracterizacao!M30/1000</f>
        <v>0.4886</v>
      </c>
      <c r="E3" s="67" t="n">
        <f aca="false">Caracterizacao!I17</f>
        <v>867.723994290837</v>
      </c>
      <c r="F3" s="67" t="n">
        <f aca="false">Caracterizacao!N17</f>
        <v>868.654816122481</v>
      </c>
      <c r="I3" s="68" t="s">
        <v>40</v>
      </c>
      <c r="J3" s="69" t="n">
        <f aca="false">INDEX($B$2:$B$100,MATCH($J$2,$A$2:$A$100,0))</f>
        <v>1068.43760252525</v>
      </c>
      <c r="K3" s="70" t="n">
        <f aca="false">INDEX($B$2:$B$100,MATCH($K$2,$A$2:$A$100,0))</f>
        <v>893.074035663281</v>
      </c>
      <c r="L3" s="190" t="n">
        <f aca="false">INDEX($B$2:$B$100,MATCH($L$2,$A$2:$A$100,0))</f>
        <v>1260</v>
      </c>
      <c r="M3" s="63"/>
      <c r="N3" s="68" t="s">
        <v>48</v>
      </c>
      <c r="O3" s="69" t="n">
        <f aca="false">J3</f>
        <v>1068.43760252525</v>
      </c>
      <c r="P3" s="70" t="n">
        <f aca="false">K3</f>
        <v>893.074035663281</v>
      </c>
      <c r="Q3" s="190" t="n">
        <f aca="false">L3</f>
        <v>1260</v>
      </c>
    </row>
    <row r="4" customFormat="false" ht="12.8" hidden="false" customHeight="false" outlineLevel="0" collapsed="false">
      <c r="A4" s="71" t="s">
        <v>46</v>
      </c>
      <c r="B4" s="71" t="n">
        <v>1260</v>
      </c>
      <c r="C4" s="71" t="n">
        <v>493</v>
      </c>
      <c r="D4" s="71" t="n">
        <v>0</v>
      </c>
      <c r="E4" s="71" t="n">
        <v>1000</v>
      </c>
      <c r="F4" s="71" t="n">
        <v>1000</v>
      </c>
      <c r="I4" s="68" t="s">
        <v>41</v>
      </c>
      <c r="J4" s="69" t="n">
        <f aca="false">INDEX($C$2:$C$100,MATCH($J$2,$A$2:$A$100,0))</f>
        <v>1.7786</v>
      </c>
      <c r="K4" s="70" t="n">
        <f aca="false">INDEX($C$2:$C$100,MATCH($K$2,$A$2:$A$100,0))</f>
        <v>5.5232</v>
      </c>
      <c r="L4" s="190" t="n">
        <f aca="false">INDEX($C$2:$C$100,MATCH($L$2,$A$2:$A$100,0))</f>
        <v>493</v>
      </c>
      <c r="M4" s="63"/>
      <c r="N4" s="68" t="s">
        <v>49</v>
      </c>
      <c r="O4" s="69" t="n">
        <f aca="false">J4/$O$2</f>
        <v>1.7786</v>
      </c>
      <c r="P4" s="70" t="n">
        <f aca="false">K4/$P$2</f>
        <v>5.5232</v>
      </c>
      <c r="Q4" s="190" t="n">
        <f aca="false">L4/$Q$2</f>
        <v>4.93</v>
      </c>
    </row>
    <row r="5" customFormat="false" ht="12.8" hidden="false" customHeight="false" outlineLevel="0" collapsed="false">
      <c r="A5" s="71" t="s">
        <v>50</v>
      </c>
      <c r="B5" s="71" t="n">
        <v>1540</v>
      </c>
      <c r="C5" s="71" t="n">
        <v>616</v>
      </c>
      <c r="D5" s="71" t="n">
        <v>0</v>
      </c>
      <c r="E5" s="71" t="n">
        <v>1540</v>
      </c>
      <c r="F5" s="71" t="n">
        <v>1540</v>
      </c>
      <c r="I5" s="68" t="s">
        <v>42</v>
      </c>
      <c r="J5" s="69" t="n">
        <f aca="false">INDEX($D$2:$D$100,MATCH($J$2,$A$2:$A$100,0))</f>
        <v>0.28176</v>
      </c>
      <c r="K5" s="70" t="n">
        <f aca="false">INDEX($D$2:$D$100,MATCH($K$2,$A$2:$A$100,0))</f>
        <v>0.4886</v>
      </c>
      <c r="L5" s="190" t="n">
        <f aca="false">INDEX($D$2:$D$100,MATCH($L$2,$A$2:$A$100,0))</f>
        <v>0</v>
      </c>
      <c r="N5" s="68" t="s">
        <v>51</v>
      </c>
      <c r="O5" s="69" t="n">
        <f aca="false">J5/$O$2</f>
        <v>0.28176</v>
      </c>
      <c r="P5" s="70" t="n">
        <f aca="false">K5/$P$2</f>
        <v>0.4886</v>
      </c>
      <c r="Q5" s="190" t="n">
        <f aca="false">L5/$Q$2</f>
        <v>0</v>
      </c>
    </row>
    <row r="6" customFormat="false" ht="12.8" hidden="false" customHeight="false" outlineLevel="0" collapsed="false">
      <c r="A6" s="71"/>
      <c r="B6" s="71"/>
      <c r="C6" s="71"/>
      <c r="D6" s="71"/>
      <c r="E6" s="71"/>
      <c r="F6" s="71"/>
      <c r="I6" s="68" t="s">
        <v>17</v>
      </c>
      <c r="J6" s="69" t="n">
        <f aca="false">INDEX($E$2:$E$100,MATCH($J$2,$A$2:$A$100,0))</f>
        <v>536.39975270356</v>
      </c>
      <c r="K6" s="70" t="n">
        <f aca="false">INDEX($E$2:$E$100,MATCH($K$2,$A$2:$A$100,0))</f>
        <v>867.723994290837</v>
      </c>
      <c r="L6" s="190" t="n">
        <f aca="false">INDEX($E$2:$E$100,MATCH($L$2,$A$2:$A$100,0))</f>
        <v>1000</v>
      </c>
      <c r="N6" s="68" t="s">
        <v>52</v>
      </c>
      <c r="O6" s="69" t="n">
        <f aca="false">J6/$O$2</f>
        <v>536.39975270356</v>
      </c>
      <c r="P6" s="70" t="n">
        <f aca="false">K6/$P$2</f>
        <v>867.723994290837</v>
      </c>
      <c r="Q6" s="190" t="n">
        <f aca="false">L6/$Q$2</f>
        <v>10</v>
      </c>
    </row>
    <row r="7" customFormat="false" ht="12.8" hidden="false" customHeight="false" outlineLevel="0" collapsed="false">
      <c r="A7" s="71"/>
      <c r="B7" s="71"/>
      <c r="C7" s="71"/>
      <c r="D7" s="71"/>
      <c r="E7" s="71"/>
      <c r="F7" s="71"/>
      <c r="I7" s="72" t="s">
        <v>22</v>
      </c>
      <c r="J7" s="73" t="n">
        <f aca="false">INDEX($F$2:$F$100,MATCH($J$2,$A$2:$A$100,0))</f>
        <v>520.806779510477</v>
      </c>
      <c r="K7" s="74" t="n">
        <f aca="false">INDEX($F$2:$F$100,MATCH($K$2,$A$2:$A$100,0))</f>
        <v>868.654816122481</v>
      </c>
      <c r="L7" s="191" t="n">
        <f aca="false">INDEX($F$2:$F$100,MATCH($L$2,$A$2:$A$100,0))</f>
        <v>1000</v>
      </c>
      <c r="N7" s="72" t="s">
        <v>53</v>
      </c>
      <c r="O7" s="73" t="n">
        <f aca="false">J7/$O$2</f>
        <v>520.806779510477</v>
      </c>
      <c r="P7" s="74" t="n">
        <f aca="false">K7/$P$2</f>
        <v>868.654816122481</v>
      </c>
      <c r="Q7" s="190" t="n">
        <f aca="false">L7/$Q$2</f>
        <v>10</v>
      </c>
    </row>
    <row r="8" customFormat="false" ht="12.8" hidden="false" customHeight="false" outlineLevel="0" collapsed="false">
      <c r="A8" s="71"/>
      <c r="B8" s="71"/>
      <c r="C8" s="71"/>
      <c r="D8" s="71"/>
      <c r="E8" s="71"/>
      <c r="F8" s="71"/>
    </row>
    <row r="9" customFormat="false" ht="12.8" hidden="false" customHeight="false" outlineLevel="0" collapsed="false">
      <c r="A9" s="71"/>
      <c r="B9" s="71"/>
      <c r="C9" s="71"/>
      <c r="D9" s="71"/>
      <c r="E9" s="71"/>
      <c r="F9" s="71"/>
    </row>
    <row r="10" customFormat="false" ht="12.8" hidden="false" customHeight="false" outlineLevel="0" collapsed="false">
      <c r="A10" s="71"/>
      <c r="B10" s="71"/>
      <c r="C10" s="71"/>
      <c r="D10" s="71"/>
      <c r="E10" s="71"/>
      <c r="F10" s="71"/>
      <c r="I10" s="75" t="s">
        <v>54</v>
      </c>
      <c r="J10" s="75"/>
      <c r="K10" s="75"/>
      <c r="L10" s="75"/>
      <c r="M10" s="75"/>
      <c r="N10" s="75"/>
      <c r="O10" s="75"/>
    </row>
    <row r="11" customFormat="false" ht="12.8" hidden="false" customHeight="false" outlineLevel="0" collapsed="false">
      <c r="A11" s="71"/>
      <c r="B11" s="71"/>
      <c r="C11" s="71"/>
      <c r="D11" s="71"/>
      <c r="E11" s="71"/>
      <c r="F11" s="71"/>
    </row>
    <row r="12" customFormat="false" ht="12.8" hidden="false" customHeight="false" outlineLevel="0" collapsed="false">
      <c r="A12" s="71"/>
      <c r="B12" s="71"/>
      <c r="C12" s="71"/>
      <c r="D12" s="71"/>
      <c r="E12" s="71"/>
      <c r="F12" s="71"/>
      <c r="I12" s="2" t="s">
        <v>55</v>
      </c>
      <c r="J12" s="2"/>
      <c r="L12" s="110" t="s">
        <v>61</v>
      </c>
      <c r="M12" s="75" t="s">
        <v>62</v>
      </c>
      <c r="N12" s="75" t="s">
        <v>101</v>
      </c>
      <c r="O12" s="23" t="s">
        <v>102</v>
      </c>
    </row>
    <row r="13" customFormat="false" ht="12.8" hidden="false" customHeight="false" outlineLevel="0" collapsed="false">
      <c r="A13" s="71"/>
      <c r="B13" s="71"/>
      <c r="C13" s="71"/>
      <c r="D13" s="71"/>
      <c r="E13" s="71"/>
      <c r="F13" s="71"/>
      <c r="I13" s="76" t="s">
        <v>56</v>
      </c>
      <c r="J13" s="77" t="n">
        <v>25</v>
      </c>
      <c r="L13" s="78" t="s">
        <v>43</v>
      </c>
      <c r="M13" s="192" t="n">
        <v>1</v>
      </c>
      <c r="N13" s="193" t="n">
        <f aca="false">O$4-($J$15*O$5)</f>
        <v>-5.2654</v>
      </c>
      <c r="O13" s="194" t="n">
        <f aca="false">N13*M13</f>
        <v>-5.2654</v>
      </c>
    </row>
    <row r="14" customFormat="false" ht="12.8" hidden="false" customHeight="false" outlineLevel="0" collapsed="false">
      <c r="A14" s="71"/>
      <c r="B14" s="71"/>
      <c r="C14" s="71"/>
      <c r="D14" s="71"/>
      <c r="E14" s="71"/>
      <c r="F14" s="71"/>
      <c r="I14" s="78" t="s">
        <v>57</v>
      </c>
      <c r="J14" s="79" t="n">
        <v>1</v>
      </c>
      <c r="L14" s="78" t="s">
        <v>44</v>
      </c>
      <c r="M14" s="192" t="n">
        <v>1</v>
      </c>
      <c r="N14" s="193" t="n">
        <f aca="false">P$4-($J$15*P$5)</f>
        <v>-6.6918</v>
      </c>
      <c r="O14" s="194" t="n">
        <f aca="false">N14*M14</f>
        <v>-6.6918</v>
      </c>
    </row>
    <row r="15" customFormat="false" ht="12.8" hidden="false" customHeight="true" outlineLevel="0" collapsed="false">
      <c r="A15" s="71"/>
      <c r="B15" s="71"/>
      <c r="C15" s="71"/>
      <c r="D15" s="71"/>
      <c r="E15" s="71"/>
      <c r="F15" s="71"/>
      <c r="I15" s="81" t="s">
        <v>59</v>
      </c>
      <c r="J15" s="82" t="n">
        <f aca="false">J13/J14</f>
        <v>25</v>
      </c>
      <c r="L15" s="81" t="s">
        <v>100</v>
      </c>
      <c r="M15" s="195" t="n">
        <v>1</v>
      </c>
      <c r="N15" s="196" t="n">
        <f aca="false">Q$4-($J$15*Q$5)</f>
        <v>4.93</v>
      </c>
      <c r="O15" s="197" t="n">
        <f aca="false">N15*M15</f>
        <v>4.93</v>
      </c>
    </row>
    <row r="16" customFormat="false" ht="12.8" hidden="false" customHeight="false" outlineLevel="0" collapsed="false">
      <c r="A16" s="71"/>
      <c r="B16" s="71"/>
      <c r="C16" s="71"/>
      <c r="D16" s="71"/>
      <c r="E16" s="71"/>
      <c r="F16" s="71"/>
    </row>
    <row r="17" customFormat="false" ht="12.8" hidden="false" customHeight="false" outlineLevel="0" collapsed="false">
      <c r="A17" s="71"/>
      <c r="B17" s="71"/>
      <c r="C17" s="71"/>
      <c r="D17" s="71"/>
      <c r="E17" s="71"/>
      <c r="F17" s="71"/>
    </row>
    <row r="18" customFormat="false" ht="12.8" hidden="false" customHeight="false" outlineLevel="0" collapsed="false">
      <c r="A18" s="71"/>
      <c r="B18" s="71"/>
      <c r="C18" s="71"/>
      <c r="D18" s="71"/>
      <c r="E18" s="71"/>
      <c r="F18" s="71"/>
      <c r="I18" s="110" t="s">
        <v>61</v>
      </c>
      <c r="J18" s="75" t="s">
        <v>62</v>
      </c>
      <c r="K18" s="75" t="s">
        <v>64</v>
      </c>
      <c r="L18" s="198" t="s">
        <v>65</v>
      </c>
      <c r="M18" s="198"/>
      <c r="N18" s="199" t="s">
        <v>66</v>
      </c>
      <c r="O18" s="199"/>
    </row>
    <row r="19" customFormat="false" ht="12.8" hidden="false" customHeight="false" outlineLevel="0" collapsed="false">
      <c r="A19" s="71"/>
      <c r="B19" s="71"/>
      <c r="C19" s="71"/>
      <c r="D19" s="71"/>
      <c r="E19" s="71"/>
      <c r="F19" s="71"/>
      <c r="I19" s="200" t="s">
        <v>43</v>
      </c>
      <c r="J19" s="201" t="n">
        <f aca="false">$M$13</f>
        <v>1</v>
      </c>
      <c r="K19" s="201" t="n">
        <f aca="false">$J19*1000</f>
        <v>1000</v>
      </c>
      <c r="L19" s="201" t="n">
        <f aca="false">$J19*$O$4</f>
        <v>1.7786</v>
      </c>
      <c r="M19" s="201"/>
      <c r="N19" s="202" t="n">
        <f aca="false">$L19/$J19</f>
        <v>1.7786</v>
      </c>
      <c r="O19" s="202"/>
    </row>
    <row r="20" customFormat="false" ht="12.8" hidden="false" customHeight="false" outlineLevel="0" collapsed="false">
      <c r="A20" s="71"/>
      <c r="B20" s="71"/>
      <c r="C20" s="71"/>
      <c r="D20" s="71"/>
      <c r="E20" s="71"/>
      <c r="F20" s="71"/>
      <c r="I20" s="200" t="s">
        <v>44</v>
      </c>
      <c r="J20" s="201" t="n">
        <f aca="false">$M$14</f>
        <v>1</v>
      </c>
      <c r="K20" s="201" t="n">
        <f aca="false">$J20*1000</f>
        <v>1000</v>
      </c>
      <c r="L20" s="201" t="n">
        <f aca="false">$J20*$P$4</f>
        <v>5.5232</v>
      </c>
      <c r="M20" s="201"/>
      <c r="N20" s="202" t="n">
        <f aca="false">$L20/$J20</f>
        <v>5.5232</v>
      </c>
      <c r="O20" s="202"/>
    </row>
    <row r="21" customFormat="false" ht="12.8" hidden="false" customHeight="false" outlineLevel="0" collapsed="false">
      <c r="A21" s="71"/>
      <c r="B21" s="71"/>
      <c r="C21" s="71"/>
      <c r="D21" s="71"/>
      <c r="E21" s="71"/>
      <c r="F21" s="71"/>
      <c r="I21" s="200" t="s">
        <v>100</v>
      </c>
      <c r="J21" s="201" t="n">
        <f aca="false">($O$13-$O$14)/$N$15</f>
        <v>0.289330628803246</v>
      </c>
      <c r="K21" s="201" t="n">
        <f aca="false">$J21*1000</f>
        <v>289.330628803246</v>
      </c>
      <c r="L21" s="201" t="n">
        <f aca="false">$J21*$Q$4</f>
        <v>1.4264</v>
      </c>
      <c r="M21" s="201"/>
      <c r="N21" s="202" t="n">
        <f aca="false">$L21/$J21</f>
        <v>4.93</v>
      </c>
      <c r="O21" s="202"/>
    </row>
    <row r="22" customFormat="false" ht="12.8" hidden="false" customHeight="false" outlineLevel="0" collapsed="false">
      <c r="A22" s="71"/>
      <c r="B22" s="71"/>
      <c r="C22" s="71"/>
      <c r="D22" s="71"/>
      <c r="E22" s="71"/>
      <c r="F22" s="71"/>
      <c r="I22" s="200" t="s">
        <v>103</v>
      </c>
      <c r="J22" s="201" t="n">
        <f aca="false">SUM(J19:J21)</f>
        <v>2.28933062880325</v>
      </c>
      <c r="K22" s="201" t="n">
        <f aca="false">SUM(K19:K21)</f>
        <v>2289.33062880325</v>
      </c>
      <c r="L22" s="201" t="n">
        <f aca="false">SUM($L19:$L21)</f>
        <v>8.7282</v>
      </c>
      <c r="M22" s="201"/>
      <c r="N22" s="202" t="n">
        <f aca="false">$L22/$J22</f>
        <v>3.81255546498441</v>
      </c>
      <c r="O22" s="202"/>
    </row>
    <row r="23" customFormat="false" ht="12.8" hidden="false" customHeight="false" outlineLevel="0" collapsed="false">
      <c r="A23" s="71"/>
      <c r="B23" s="71"/>
      <c r="C23" s="71"/>
      <c r="D23" s="71"/>
      <c r="E23" s="71"/>
      <c r="F23" s="71"/>
      <c r="I23" s="179" t="s">
        <v>43</v>
      </c>
      <c r="J23" s="104" t="n">
        <f aca="false">$M$13</f>
        <v>1</v>
      </c>
      <c r="K23" s="104" t="n">
        <f aca="false">$J23*1000</f>
        <v>1000</v>
      </c>
      <c r="L23" s="180" t="n">
        <f aca="false">$J23*$O$4</f>
        <v>1.7786</v>
      </c>
      <c r="M23" s="180"/>
      <c r="N23" s="106" t="n">
        <f aca="false">$L23/$J23</f>
        <v>1.7786</v>
      </c>
      <c r="O23" s="106"/>
    </row>
    <row r="24" customFormat="false" ht="12.8" hidden="false" customHeight="false" outlineLevel="0" collapsed="false">
      <c r="A24" s="71"/>
      <c r="B24" s="71"/>
      <c r="C24" s="71"/>
      <c r="D24" s="71"/>
      <c r="E24" s="71"/>
      <c r="F24" s="71"/>
      <c r="I24" s="179" t="s">
        <v>44</v>
      </c>
      <c r="J24" s="104" t="n">
        <f aca="false">$M$14</f>
        <v>1</v>
      </c>
      <c r="K24" s="104" t="n">
        <f aca="false">$J24*1000</f>
        <v>1000</v>
      </c>
      <c r="L24" s="180" t="n">
        <f aca="false">$J24*$P$4</f>
        <v>5.5232</v>
      </c>
      <c r="M24" s="180"/>
      <c r="N24" s="106" t="n">
        <f aca="false">$L24/$J24</f>
        <v>5.5232</v>
      </c>
      <c r="O24" s="106"/>
    </row>
    <row r="25" customFormat="false" ht="12.8" hidden="false" customHeight="false" outlineLevel="0" collapsed="false">
      <c r="A25" s="71"/>
      <c r="B25" s="71"/>
      <c r="C25" s="71"/>
      <c r="D25" s="71"/>
      <c r="E25" s="71"/>
      <c r="F25" s="71"/>
      <c r="I25" s="179" t="s">
        <v>100</v>
      </c>
      <c r="J25" s="104" t="n">
        <f aca="false">($O$14-$O$13)/$N$15</f>
        <v>-0.289330628803246</v>
      </c>
      <c r="K25" s="104" t="n">
        <f aca="false">$J25*1000</f>
        <v>-289.330628803246</v>
      </c>
      <c r="L25" s="180" t="n">
        <f aca="false">$J25*$Q$4</f>
        <v>-1.4264</v>
      </c>
      <c r="M25" s="180"/>
      <c r="N25" s="106" t="n">
        <f aca="false">$L25/$J25</f>
        <v>4.93</v>
      </c>
      <c r="O25" s="106"/>
    </row>
    <row r="26" customFormat="false" ht="12.8" hidden="false" customHeight="false" outlineLevel="0" collapsed="false">
      <c r="A26" s="71"/>
      <c r="B26" s="71"/>
      <c r="C26" s="71"/>
      <c r="D26" s="71"/>
      <c r="E26" s="71"/>
      <c r="F26" s="71"/>
      <c r="I26" s="179" t="s">
        <v>103</v>
      </c>
      <c r="J26" s="104" t="n">
        <f aca="false">SUM(J23:J25)</f>
        <v>1.71066937119675</v>
      </c>
      <c r="K26" s="104" t="n">
        <f aca="false">SUM(K23:K25)</f>
        <v>1710.66937119675</v>
      </c>
      <c r="L26" s="180" t="n">
        <f aca="false">SUM($L23:$L25)</f>
        <v>5.8754</v>
      </c>
      <c r="M26" s="180"/>
      <c r="N26" s="106" t="n">
        <f aca="false">$L26/$J26</f>
        <v>3.4345619901347</v>
      </c>
      <c r="O26" s="106"/>
    </row>
    <row r="27" customFormat="false" ht="12.8" hidden="false" customHeight="false" outlineLevel="0" collapsed="false">
      <c r="A27" s="71"/>
      <c r="B27" s="71"/>
      <c r="C27" s="71"/>
      <c r="D27" s="71"/>
      <c r="E27" s="71"/>
      <c r="F27" s="71"/>
      <c r="I27" s="182" t="s">
        <v>43</v>
      </c>
      <c r="J27" s="183" t="n">
        <f aca="false">$M$13</f>
        <v>1</v>
      </c>
      <c r="K27" s="183" t="n">
        <f aca="false">$J27*1000</f>
        <v>1000</v>
      </c>
      <c r="L27" s="183" t="n">
        <f aca="false">$J27*$O$4</f>
        <v>1.7786</v>
      </c>
      <c r="M27" s="183"/>
      <c r="N27" s="184" t="n">
        <f aca="false">$L27/$J27</f>
        <v>1.7786</v>
      </c>
      <c r="O27" s="184"/>
    </row>
    <row r="28" customFormat="false" ht="12.8" hidden="false" customHeight="false" outlineLevel="0" collapsed="false">
      <c r="A28" s="71"/>
      <c r="B28" s="71"/>
      <c r="C28" s="71"/>
      <c r="D28" s="71"/>
      <c r="E28" s="71"/>
      <c r="F28" s="71"/>
      <c r="I28" s="182" t="s">
        <v>44</v>
      </c>
      <c r="J28" s="183" t="n">
        <f aca="false">($O$13-$O$15)/$N$14</f>
        <v>1.52356615559341</v>
      </c>
      <c r="K28" s="183" t="n">
        <f aca="false">$J28*1000</f>
        <v>1523.56615559341</v>
      </c>
      <c r="L28" s="183" t="n">
        <f aca="false">$J28*$P$4</f>
        <v>8.41496059057354</v>
      </c>
      <c r="M28" s="183"/>
      <c r="N28" s="184" t="n">
        <f aca="false">$L28/$J28</f>
        <v>5.5232</v>
      </c>
      <c r="O28" s="184"/>
    </row>
    <row r="29" customFormat="false" ht="12.8" hidden="false" customHeight="false" outlineLevel="0" collapsed="false">
      <c r="A29" s="71"/>
      <c r="B29" s="71"/>
      <c r="C29" s="71"/>
      <c r="D29" s="71"/>
      <c r="E29" s="71"/>
      <c r="F29" s="71"/>
      <c r="I29" s="182" t="s">
        <v>100</v>
      </c>
      <c r="J29" s="183" t="n">
        <f aca="false">$M$15</f>
        <v>1</v>
      </c>
      <c r="K29" s="183" t="n">
        <f aca="false">$J29*1000</f>
        <v>1000</v>
      </c>
      <c r="L29" s="183" t="n">
        <f aca="false">$J29*$Q$4</f>
        <v>4.93</v>
      </c>
      <c r="M29" s="183"/>
      <c r="N29" s="184" t="n">
        <f aca="false">$L29/$J29</f>
        <v>4.93</v>
      </c>
      <c r="O29" s="184"/>
    </row>
    <row r="30" customFormat="false" ht="12.8" hidden="false" customHeight="false" outlineLevel="0" collapsed="false">
      <c r="A30" s="71"/>
      <c r="B30" s="71"/>
      <c r="C30" s="71"/>
      <c r="D30" s="71"/>
      <c r="E30" s="71"/>
      <c r="F30" s="71"/>
      <c r="I30" s="182" t="s">
        <v>103</v>
      </c>
      <c r="J30" s="183" t="n">
        <f aca="false">SUM(J27:J29)</f>
        <v>3.52356615559341</v>
      </c>
      <c r="K30" s="183" t="n">
        <f aca="false">SUM(K27:K29)</f>
        <v>3523.56615559341</v>
      </c>
      <c r="L30" s="183" t="n">
        <f aca="false">SUM($L27:$L29)</f>
        <v>15.1235605905735</v>
      </c>
      <c r="M30" s="183"/>
      <c r="N30" s="184" t="n">
        <f aca="false">$L30/$J30</f>
        <v>4.29211767929089</v>
      </c>
      <c r="O30" s="184"/>
    </row>
    <row r="31" customFormat="false" ht="12.8" hidden="false" customHeight="false" outlineLevel="0" collapsed="false">
      <c r="A31" s="71"/>
      <c r="B31" s="71"/>
      <c r="C31" s="71"/>
      <c r="D31" s="71"/>
      <c r="E31" s="71"/>
      <c r="F31" s="71"/>
      <c r="I31" s="175" t="s">
        <v>43</v>
      </c>
      <c r="J31" s="92" t="n">
        <f aca="false">$M$13</f>
        <v>1</v>
      </c>
      <c r="K31" s="92" t="n">
        <f aca="false">$J31*1000</f>
        <v>1000</v>
      </c>
      <c r="L31" s="176" t="n">
        <f aca="false">$J31*$O$4</f>
        <v>1.7786</v>
      </c>
      <c r="M31" s="176"/>
      <c r="N31" s="94" t="n">
        <f aca="false">$L31/$J31</f>
        <v>1.7786</v>
      </c>
      <c r="O31" s="94"/>
    </row>
    <row r="32" customFormat="false" ht="12.8" hidden="false" customHeight="false" outlineLevel="0" collapsed="false">
      <c r="A32" s="71"/>
      <c r="B32" s="71"/>
      <c r="C32" s="71"/>
      <c r="D32" s="71"/>
      <c r="E32" s="71"/>
      <c r="F32" s="71"/>
      <c r="I32" s="175" t="s">
        <v>44</v>
      </c>
      <c r="J32" s="92" t="n">
        <f aca="false">($O$15-$O$13)/$N$14</f>
        <v>-1.52356615559341</v>
      </c>
      <c r="K32" s="92" t="n">
        <f aca="false">$J32*1000</f>
        <v>-1523.56615559341</v>
      </c>
      <c r="L32" s="176" t="n">
        <f aca="false">$J32*$P$4</f>
        <v>-8.41496059057354</v>
      </c>
      <c r="M32" s="176"/>
      <c r="N32" s="94" t="n">
        <f aca="false">$L32/$J32</f>
        <v>5.5232</v>
      </c>
      <c r="O32" s="94"/>
    </row>
    <row r="33" customFormat="false" ht="12.8" hidden="false" customHeight="false" outlineLevel="0" collapsed="false">
      <c r="A33" s="71"/>
      <c r="B33" s="71"/>
      <c r="C33" s="71"/>
      <c r="D33" s="71"/>
      <c r="E33" s="71"/>
      <c r="F33" s="71"/>
      <c r="I33" s="175" t="s">
        <v>100</v>
      </c>
      <c r="J33" s="92" t="n">
        <f aca="false">$M$15</f>
        <v>1</v>
      </c>
      <c r="K33" s="92" t="n">
        <f aca="false">$J33*1000</f>
        <v>1000</v>
      </c>
      <c r="L33" s="176" t="n">
        <f aca="false">$J33*$Q$4</f>
        <v>4.93</v>
      </c>
      <c r="M33" s="176"/>
      <c r="N33" s="94" t="n">
        <f aca="false">$L33/$J33</f>
        <v>4.93</v>
      </c>
      <c r="O33" s="94"/>
    </row>
    <row r="34" customFormat="false" ht="12.8" hidden="false" customHeight="false" outlineLevel="0" collapsed="false">
      <c r="A34" s="71"/>
      <c r="B34" s="71"/>
      <c r="C34" s="71"/>
      <c r="D34" s="71"/>
      <c r="E34" s="71"/>
      <c r="F34" s="71"/>
      <c r="I34" s="175" t="s">
        <v>103</v>
      </c>
      <c r="J34" s="92" t="n">
        <f aca="false">SUM(J31:J33)</f>
        <v>0.476433844406588</v>
      </c>
      <c r="K34" s="92" t="n">
        <f aca="false">SUM(K31:K33)</f>
        <v>476.433844406588</v>
      </c>
      <c r="L34" s="176" t="n">
        <f aca="false">SUM($L31:$L33)</f>
        <v>-1.70636059057354</v>
      </c>
      <c r="M34" s="176"/>
      <c r="N34" s="94" t="n">
        <f aca="false">$L34/$J34</f>
        <v>-3.58152681764004</v>
      </c>
      <c r="O34" s="94"/>
    </row>
    <row r="35" customFormat="false" ht="12.8" hidden="false" customHeight="false" outlineLevel="0" collapsed="false">
      <c r="A35" s="71"/>
      <c r="B35" s="71"/>
      <c r="C35" s="71"/>
      <c r="D35" s="71"/>
      <c r="E35" s="71"/>
      <c r="F35" s="71"/>
      <c r="I35" s="178" t="s">
        <v>43</v>
      </c>
      <c r="J35" s="125" t="n">
        <f aca="false">($O$14-$O$15)/$N$13</f>
        <v>2.20720173206214</v>
      </c>
      <c r="K35" s="125" t="n">
        <f aca="false">$J35*1000</f>
        <v>2207.20173206214</v>
      </c>
      <c r="L35" s="125" t="n">
        <f aca="false">$J35*$O$4</f>
        <v>3.92572900064573</v>
      </c>
      <c r="M35" s="125"/>
      <c r="N35" s="126" t="n">
        <f aca="false">$L35/$J35</f>
        <v>1.7786</v>
      </c>
      <c r="O35" s="126"/>
    </row>
    <row r="36" customFormat="false" ht="12.8" hidden="false" customHeight="false" outlineLevel="0" collapsed="false">
      <c r="A36" s="71"/>
      <c r="B36" s="71"/>
      <c r="C36" s="71"/>
      <c r="D36" s="71"/>
      <c r="E36" s="71"/>
      <c r="F36" s="71"/>
      <c r="I36" s="178" t="s">
        <v>44</v>
      </c>
      <c r="J36" s="125" t="n">
        <f aca="false">$M$14</f>
        <v>1</v>
      </c>
      <c r="K36" s="125" t="n">
        <f aca="false">$J36*1000</f>
        <v>1000</v>
      </c>
      <c r="L36" s="125" t="n">
        <f aca="false">$J36*$P$4</f>
        <v>5.5232</v>
      </c>
      <c r="M36" s="125"/>
      <c r="N36" s="126" t="n">
        <f aca="false">$L36/$J36</f>
        <v>5.5232</v>
      </c>
      <c r="O36" s="126"/>
    </row>
    <row r="37" customFormat="false" ht="12.8" hidden="false" customHeight="false" outlineLevel="0" collapsed="false">
      <c r="A37" s="71"/>
      <c r="B37" s="71"/>
      <c r="C37" s="71"/>
      <c r="D37" s="71"/>
      <c r="E37" s="71"/>
      <c r="F37" s="71"/>
      <c r="I37" s="178" t="s">
        <v>100</v>
      </c>
      <c r="J37" s="125" t="n">
        <f aca="false">$M$15</f>
        <v>1</v>
      </c>
      <c r="K37" s="125" t="n">
        <f aca="false">$J37*1000</f>
        <v>1000</v>
      </c>
      <c r="L37" s="125" t="n">
        <f aca="false">$J37*$Q$4</f>
        <v>4.93</v>
      </c>
      <c r="M37" s="125"/>
      <c r="N37" s="126" t="n">
        <f aca="false">$L37/$J37</f>
        <v>4.93</v>
      </c>
      <c r="O37" s="126"/>
    </row>
    <row r="38" customFormat="false" ht="12.8" hidden="false" customHeight="false" outlineLevel="0" collapsed="false">
      <c r="A38" s="71"/>
      <c r="B38" s="71"/>
      <c r="C38" s="71"/>
      <c r="D38" s="71"/>
      <c r="E38" s="71"/>
      <c r="F38" s="71"/>
      <c r="I38" s="178" t="s">
        <v>103</v>
      </c>
      <c r="J38" s="125" t="n">
        <f aca="false">SUM(J35:J37)</f>
        <v>4.20720173206214</v>
      </c>
      <c r="K38" s="125" t="n">
        <f aca="false">SUM(K35:K37)</f>
        <v>4207.20173206214</v>
      </c>
      <c r="L38" s="125" t="n">
        <f aca="false">SUM($L35:$L37)</f>
        <v>14.3789290006457</v>
      </c>
      <c r="M38" s="125"/>
      <c r="N38" s="126" t="n">
        <f aca="false">$L38/$J38</f>
        <v>3.41769421016043</v>
      </c>
      <c r="O38" s="126"/>
    </row>
    <row r="39" customFormat="false" ht="12.8" hidden="false" customHeight="false" outlineLevel="0" collapsed="false">
      <c r="A39" s="71"/>
      <c r="B39" s="71"/>
      <c r="C39" s="71"/>
      <c r="D39" s="71"/>
      <c r="E39" s="71"/>
      <c r="F39" s="71"/>
      <c r="I39" s="203" t="s">
        <v>43</v>
      </c>
      <c r="J39" s="204" t="n">
        <f aca="false">($O$15-$O$14)/$N$13</f>
        <v>-2.20720173206214</v>
      </c>
      <c r="K39" s="204" t="n">
        <f aca="false">$J39*1000</f>
        <v>-2207.20173206214</v>
      </c>
      <c r="L39" s="204" t="n">
        <f aca="false">$J39*$O$4</f>
        <v>-3.92572900064573</v>
      </c>
      <c r="M39" s="204"/>
      <c r="N39" s="205" t="n">
        <f aca="false">$L39/$J39</f>
        <v>1.7786</v>
      </c>
      <c r="O39" s="205"/>
    </row>
    <row r="40" customFormat="false" ht="12.8" hidden="false" customHeight="false" outlineLevel="0" collapsed="false">
      <c r="A40" s="71"/>
      <c r="B40" s="71"/>
      <c r="C40" s="71"/>
      <c r="D40" s="71"/>
      <c r="E40" s="71"/>
      <c r="F40" s="71"/>
      <c r="I40" s="203" t="s">
        <v>44</v>
      </c>
      <c r="J40" s="204" t="n">
        <f aca="false">$M$14</f>
        <v>1</v>
      </c>
      <c r="K40" s="204" t="n">
        <f aca="false">$J40*1000</f>
        <v>1000</v>
      </c>
      <c r="L40" s="204" t="n">
        <f aca="false">$J40*$P$4</f>
        <v>5.5232</v>
      </c>
      <c r="M40" s="204"/>
      <c r="N40" s="205" t="n">
        <f aca="false">$L40/$J40</f>
        <v>5.5232</v>
      </c>
      <c r="O40" s="205"/>
    </row>
    <row r="41" customFormat="false" ht="12.8" hidden="false" customHeight="false" outlineLevel="0" collapsed="false">
      <c r="A41" s="71"/>
      <c r="B41" s="71"/>
      <c r="C41" s="71"/>
      <c r="D41" s="71"/>
      <c r="E41" s="71"/>
      <c r="F41" s="71"/>
      <c r="I41" s="203" t="s">
        <v>100</v>
      </c>
      <c r="J41" s="204" t="n">
        <f aca="false">$M$15</f>
        <v>1</v>
      </c>
      <c r="K41" s="204" t="n">
        <f aca="false">$J41*1000</f>
        <v>1000</v>
      </c>
      <c r="L41" s="204" t="n">
        <f aca="false">$J41*$Q$4</f>
        <v>4.93</v>
      </c>
      <c r="M41" s="204"/>
      <c r="N41" s="205" t="n">
        <f aca="false">$L41/$J41</f>
        <v>4.93</v>
      </c>
      <c r="O41" s="205"/>
    </row>
    <row r="42" customFormat="false" ht="12.8" hidden="false" customHeight="false" outlineLevel="0" collapsed="false">
      <c r="A42" s="71"/>
      <c r="B42" s="71"/>
      <c r="C42" s="71"/>
      <c r="D42" s="71"/>
      <c r="E42" s="71"/>
      <c r="F42" s="71"/>
      <c r="I42" s="206" t="s">
        <v>103</v>
      </c>
      <c r="J42" s="207" t="n">
        <f aca="false">SUM(J39:J41)</f>
        <v>-0.207201732062142</v>
      </c>
      <c r="K42" s="207" t="n">
        <f aca="false">SUM(K39:K41)</f>
        <v>-207.201732062142</v>
      </c>
      <c r="L42" s="207" t="n">
        <f aca="false">SUM($L39:$L41)</f>
        <v>6.52747099935428</v>
      </c>
      <c r="M42" s="207"/>
      <c r="N42" s="208" t="n">
        <f aca="false">$L42/$J42</f>
        <v>-31.5029750687443</v>
      </c>
      <c r="O42" s="208"/>
    </row>
    <row r="43" customFormat="false" ht="12.8" hidden="false" customHeight="false" outlineLevel="0" collapsed="false">
      <c r="A43" s="71"/>
      <c r="B43" s="71"/>
      <c r="C43" s="71"/>
      <c r="D43" s="71"/>
      <c r="E43" s="71"/>
      <c r="F43" s="71"/>
    </row>
    <row r="44" customFormat="false" ht="12.8" hidden="false" customHeight="false" outlineLevel="0" collapsed="false">
      <c r="A44" s="71"/>
      <c r="B44" s="71"/>
      <c r="C44" s="71"/>
      <c r="D44" s="71"/>
      <c r="E44" s="71"/>
      <c r="F44" s="71"/>
    </row>
    <row r="45" customFormat="false" ht="12.8" hidden="false" customHeight="false" outlineLevel="0" collapsed="false">
      <c r="A45" s="71"/>
      <c r="B45" s="71"/>
      <c r="C45" s="71"/>
      <c r="D45" s="71"/>
      <c r="E45" s="71"/>
      <c r="F45" s="71"/>
      <c r="I45" s="198" t="s">
        <v>68</v>
      </c>
      <c r="J45" s="198"/>
      <c r="K45" s="198"/>
      <c r="L45" s="198"/>
      <c r="M45" s="198"/>
      <c r="N45" s="198"/>
      <c r="O45" s="198"/>
      <c r="P45" s="198"/>
    </row>
    <row r="46" customFormat="false" ht="12.8" hidden="false" customHeight="false" outlineLevel="0" collapsed="false">
      <c r="A46" s="71"/>
      <c r="B46" s="71"/>
      <c r="C46" s="71"/>
      <c r="D46" s="71"/>
      <c r="E46" s="71"/>
      <c r="F46" s="71"/>
    </row>
    <row r="47" customFormat="false" ht="12.8" hidden="false" customHeight="false" outlineLevel="0" collapsed="false">
      <c r="A47" s="71"/>
      <c r="B47" s="71"/>
      <c r="C47" s="71"/>
      <c r="D47" s="71"/>
      <c r="E47" s="71"/>
      <c r="F47" s="71"/>
      <c r="I47" s="209" t="s">
        <v>39</v>
      </c>
      <c r="J47" s="198" t="s">
        <v>69</v>
      </c>
      <c r="K47" s="198" t="s">
        <v>70</v>
      </c>
      <c r="L47" s="198" t="s">
        <v>71</v>
      </c>
      <c r="M47" s="198" t="s">
        <v>19</v>
      </c>
      <c r="N47" s="198" t="s">
        <v>72</v>
      </c>
      <c r="O47" s="198" t="s">
        <v>24</v>
      </c>
      <c r="P47" s="210" t="s">
        <v>73</v>
      </c>
    </row>
    <row r="48" customFormat="false" ht="12.8" hidden="false" customHeight="false" outlineLevel="0" collapsed="false">
      <c r="A48" s="71"/>
      <c r="B48" s="71"/>
      <c r="C48" s="71"/>
      <c r="D48" s="71"/>
      <c r="E48" s="71"/>
      <c r="F48" s="71"/>
      <c r="I48" s="200" t="s">
        <v>43</v>
      </c>
      <c r="J48" s="201" t="n">
        <f aca="false">$J19*$O$3</f>
        <v>1068.43760252525</v>
      </c>
      <c r="K48" s="201" t="n">
        <f aca="false">SUM(J48:J50)</f>
        <v>2326.06823048062</v>
      </c>
      <c r="L48" s="201" t="n">
        <f aca="false">($O$6*$J19)+($P$6*$J20)+($Q$6*$J21)</f>
        <v>1407.01705328243</v>
      </c>
      <c r="M48" s="201" t="n">
        <f aca="false">($L48/$K48)*100</f>
        <v>60.4890705631496</v>
      </c>
      <c r="N48" s="201" t="n">
        <f aca="false">($O$7*$J19)+($P$7*$J20)+($Q$7*$J21)</f>
        <v>1392.35490192099</v>
      </c>
      <c r="O48" s="201" t="n">
        <f aca="false">($N48/$K48)*100</f>
        <v>59.8587300095361</v>
      </c>
      <c r="P48" s="202" t="n">
        <f aca="false">$N48/$L48</f>
        <v>0.989579265349177</v>
      </c>
    </row>
    <row r="49" customFormat="false" ht="12.8" hidden="false" customHeight="false" outlineLevel="0" collapsed="false">
      <c r="A49" s="71"/>
      <c r="B49" s="71"/>
      <c r="C49" s="71"/>
      <c r="D49" s="71"/>
      <c r="E49" s="71"/>
      <c r="F49" s="71"/>
      <c r="I49" s="200" t="s">
        <v>44</v>
      </c>
      <c r="J49" s="201" t="n">
        <f aca="false">$J20*$P$3</f>
        <v>893.074035663281</v>
      </c>
      <c r="K49" s="201"/>
      <c r="L49" s="201"/>
      <c r="M49" s="201"/>
      <c r="N49" s="201"/>
      <c r="O49" s="201"/>
      <c r="P49" s="202"/>
    </row>
    <row r="50" customFormat="false" ht="12.8" hidden="false" customHeight="false" outlineLevel="0" collapsed="false">
      <c r="A50" s="71"/>
      <c r="B50" s="71"/>
      <c r="C50" s="71"/>
      <c r="D50" s="71"/>
      <c r="E50" s="71"/>
      <c r="F50" s="71"/>
      <c r="I50" s="200" t="s">
        <v>100</v>
      </c>
      <c r="J50" s="201" t="n">
        <f aca="false">$J21*$Q$3</f>
        <v>364.55659229209</v>
      </c>
      <c r="K50" s="201"/>
      <c r="L50" s="201"/>
      <c r="M50" s="201"/>
      <c r="N50" s="201"/>
      <c r="O50" s="201"/>
      <c r="P50" s="202"/>
    </row>
    <row r="51" customFormat="false" ht="12.8" hidden="false" customHeight="false" outlineLevel="0" collapsed="false">
      <c r="A51" s="71"/>
      <c r="B51" s="71"/>
      <c r="C51" s="71"/>
      <c r="D51" s="71"/>
      <c r="E51" s="71"/>
      <c r="F51" s="71"/>
      <c r="I51" s="179" t="s">
        <v>43</v>
      </c>
      <c r="J51" s="104" t="n">
        <f aca="false">$J23*$O$3</f>
        <v>1068.43760252525</v>
      </c>
      <c r="K51" s="180" t="n">
        <f aca="false">SUM(J51:J53)</f>
        <v>1596.95504589644</v>
      </c>
      <c r="L51" s="180" t="n">
        <f aca="false">($O$6*$J23)+($P$6*$J24)+($Q$6*$J25)</f>
        <v>1401.23044070636</v>
      </c>
      <c r="M51" s="180" t="n">
        <f aca="false">($L51/$K51)*100</f>
        <v>87.7438876133041</v>
      </c>
      <c r="N51" s="180" t="n">
        <f aca="false">($O$7*$J23)+($P$7*$J24)+($Q$7*$J25)</f>
        <v>1386.56828934493</v>
      </c>
      <c r="O51" s="180" t="n">
        <f aca="false">($N51/$K51)*100</f>
        <v>86.8257558600581</v>
      </c>
      <c r="P51" s="181" t="n">
        <f aca="false">$N51/$L51</f>
        <v>0.989536231204021</v>
      </c>
    </row>
    <row r="52" customFormat="false" ht="12.8" hidden="false" customHeight="false" outlineLevel="0" collapsed="false">
      <c r="A52" s="71"/>
      <c r="B52" s="71"/>
      <c r="C52" s="71"/>
      <c r="D52" s="71"/>
      <c r="E52" s="71"/>
      <c r="F52" s="71"/>
      <c r="I52" s="179" t="s">
        <v>44</v>
      </c>
      <c r="J52" s="104" t="n">
        <f aca="false">$J24*$P$3</f>
        <v>893.074035663281</v>
      </c>
      <c r="K52" s="180"/>
      <c r="L52" s="180"/>
      <c r="M52" s="180"/>
      <c r="N52" s="180"/>
      <c r="O52" s="180"/>
      <c r="P52" s="181"/>
    </row>
    <row r="53" customFormat="false" ht="12.8" hidden="false" customHeight="false" outlineLevel="0" collapsed="false">
      <c r="A53" s="71"/>
      <c r="B53" s="71"/>
      <c r="C53" s="71"/>
      <c r="D53" s="71"/>
      <c r="E53" s="71"/>
      <c r="F53" s="71"/>
      <c r="I53" s="179" t="s">
        <v>100</v>
      </c>
      <c r="J53" s="104" t="n">
        <f aca="false">$J25*$Q$3</f>
        <v>-364.55659229209</v>
      </c>
      <c r="K53" s="180"/>
      <c r="L53" s="180"/>
      <c r="M53" s="180"/>
      <c r="N53" s="180"/>
      <c r="O53" s="180"/>
      <c r="P53" s="181"/>
    </row>
    <row r="54" customFormat="false" ht="12.8" hidden="false" customHeight="false" outlineLevel="0" collapsed="false">
      <c r="A54" s="71"/>
      <c r="B54" s="71"/>
      <c r="C54" s="71"/>
      <c r="D54" s="71"/>
      <c r="E54" s="71"/>
      <c r="F54" s="71"/>
      <c r="I54" s="182" t="s">
        <v>43</v>
      </c>
      <c r="J54" s="183" t="n">
        <f aca="false">$J27*$O$3</f>
        <v>1068.43760252525</v>
      </c>
      <c r="K54" s="183" t="n">
        <f aca="false">SUM(J54:J56)</f>
        <v>3689.09497770105</v>
      </c>
      <c r="L54" s="183" t="n">
        <f aca="false">($O$6*$J27)+($P$6*$J28)+($Q$6*$J29)</f>
        <v>1868.43466280141</v>
      </c>
      <c r="M54" s="183" t="n">
        <f aca="false">($L54/$K54)*100</f>
        <v>50.6475076975592</v>
      </c>
      <c r="N54" s="183" t="n">
        <f aca="false">($O$7*$J27)+($P$7*$J28)+($Q$7*$J29)</f>
        <v>1854.25985824791</v>
      </c>
      <c r="O54" s="183" t="n">
        <f aca="false">($N54/$K54)*100</f>
        <v>50.26327241386</v>
      </c>
      <c r="P54" s="184" t="n">
        <f aca="false">$N54/$L54</f>
        <v>0.992413540149031</v>
      </c>
    </row>
    <row r="55" customFormat="false" ht="12.8" hidden="false" customHeight="false" outlineLevel="0" collapsed="false">
      <c r="A55" s="71"/>
      <c r="B55" s="71"/>
      <c r="C55" s="71"/>
      <c r="D55" s="71"/>
      <c r="E55" s="71"/>
      <c r="F55" s="71"/>
      <c r="I55" s="182" t="s">
        <v>44</v>
      </c>
      <c r="J55" s="183" t="n">
        <f aca="false">$J28*$P$3</f>
        <v>1360.6573751758</v>
      </c>
      <c r="K55" s="183"/>
      <c r="L55" s="183"/>
      <c r="M55" s="183"/>
      <c r="N55" s="183"/>
      <c r="O55" s="183"/>
      <c r="P55" s="184"/>
    </row>
    <row r="56" customFormat="false" ht="12.8" hidden="false" customHeight="false" outlineLevel="0" collapsed="false">
      <c r="A56" s="71"/>
      <c r="B56" s="71"/>
      <c r="C56" s="71"/>
      <c r="D56" s="71"/>
      <c r="E56" s="71"/>
      <c r="F56" s="71"/>
      <c r="I56" s="182" t="s">
        <v>100</v>
      </c>
      <c r="J56" s="183" t="n">
        <f aca="false">$J29*$Q$3</f>
        <v>1260</v>
      </c>
      <c r="K56" s="183"/>
      <c r="L56" s="183"/>
      <c r="M56" s="183"/>
      <c r="N56" s="183"/>
      <c r="O56" s="183"/>
      <c r="P56" s="184"/>
    </row>
    <row r="57" customFormat="false" ht="12.8" hidden="false" customHeight="false" outlineLevel="0" collapsed="false">
      <c r="A57" s="71"/>
      <c r="B57" s="71"/>
      <c r="C57" s="71"/>
      <c r="D57" s="71"/>
      <c r="E57" s="71"/>
      <c r="F57" s="71"/>
      <c r="I57" s="175" t="s">
        <v>43</v>
      </c>
      <c r="J57" s="92" t="n">
        <f aca="false">$J31*$O$3</f>
        <v>1068.43760252525</v>
      </c>
      <c r="K57" s="176" t="n">
        <f aca="false">SUM(J57:J59)</f>
        <v>967.780227349454</v>
      </c>
      <c r="L57" s="176" t="n">
        <f aca="false">($O$6*$J31)+($P$6*$J32)+($Q$6*$J33)</f>
        <v>-775.63515739429</v>
      </c>
      <c r="M57" s="176" t="n">
        <f aca="false">($L57/$K57)*100</f>
        <v>-80.1457950343325</v>
      </c>
      <c r="N57" s="176" t="n">
        <f aca="false">($O$7*$J31)+($P$7*$J32)+($Q$7*$J33)</f>
        <v>-792.646299226954</v>
      </c>
      <c r="O57" s="176" t="n">
        <f aca="false">($N57/$K57)*100</f>
        <v>-81.9035434726586</v>
      </c>
      <c r="P57" s="177" t="n">
        <f aca="false">$N57/$L57</f>
        <v>1.02193188597821</v>
      </c>
    </row>
    <row r="58" customFormat="false" ht="12.8" hidden="false" customHeight="false" outlineLevel="0" collapsed="false">
      <c r="A58" s="71"/>
      <c r="B58" s="71"/>
      <c r="C58" s="71"/>
      <c r="D58" s="71"/>
      <c r="E58" s="71"/>
      <c r="F58" s="71"/>
      <c r="I58" s="175" t="s">
        <v>44</v>
      </c>
      <c r="J58" s="92" t="n">
        <f aca="false">$J32*$P$3</f>
        <v>-1360.6573751758</v>
      </c>
      <c r="K58" s="176"/>
      <c r="L58" s="176"/>
      <c r="M58" s="176"/>
      <c r="N58" s="176"/>
      <c r="O58" s="176"/>
      <c r="P58" s="177"/>
    </row>
    <row r="59" customFormat="false" ht="12.8" hidden="false" customHeight="false" outlineLevel="0" collapsed="false">
      <c r="A59" s="71"/>
      <c r="B59" s="71"/>
      <c r="C59" s="71"/>
      <c r="D59" s="71"/>
      <c r="E59" s="71"/>
      <c r="F59" s="71"/>
      <c r="I59" s="175" t="s">
        <v>100</v>
      </c>
      <c r="J59" s="92" t="n">
        <f aca="false">$J33*$Q$3</f>
        <v>1260</v>
      </c>
      <c r="K59" s="176"/>
      <c r="L59" s="176"/>
      <c r="M59" s="176"/>
      <c r="N59" s="176"/>
      <c r="O59" s="176"/>
      <c r="P59" s="177"/>
    </row>
    <row r="60" customFormat="false" ht="12.8" hidden="false" customHeight="false" outlineLevel="0" collapsed="false">
      <c r="A60" s="71"/>
      <c r="B60" s="71"/>
      <c r="C60" s="71"/>
      <c r="D60" s="71"/>
      <c r="E60" s="71"/>
      <c r="F60" s="71"/>
      <c r="I60" s="178" t="s">
        <v>43</v>
      </c>
      <c r="J60" s="125" t="n">
        <f aca="false">$J35*$O$3</f>
        <v>2358.25732689406</v>
      </c>
      <c r="K60" s="125" t="n">
        <f aca="false">SUM(J60:J62)</f>
        <v>4511.33136255734</v>
      </c>
      <c r="L60" s="125" t="n">
        <f aca="false">($O$6*$J35)+($P$6*$J36)+($Q$6*$J37)</f>
        <v>2061.66645753584</v>
      </c>
      <c r="M60" s="125" t="n">
        <f aca="false">($L60/$K60)*100</f>
        <v>45.6997345539065</v>
      </c>
      <c r="N60" s="125" t="n">
        <f aca="false">($O$7*$J35)+($P$7*$J36)+($Q$7*$J37)</f>
        <v>2028.18044192771</v>
      </c>
      <c r="O60" s="125" t="n">
        <f aca="false">($N60/$K60)*100</f>
        <v>44.957469955787</v>
      </c>
      <c r="P60" s="126" t="n">
        <f aca="false">$N60/$L60</f>
        <v>0.983757791913562</v>
      </c>
    </row>
    <row r="61" customFormat="false" ht="12.8" hidden="false" customHeight="false" outlineLevel="0" collapsed="false">
      <c r="A61" s="71"/>
      <c r="B61" s="71"/>
      <c r="C61" s="71"/>
      <c r="D61" s="71"/>
      <c r="E61" s="71"/>
      <c r="F61" s="71"/>
      <c r="I61" s="178" t="s">
        <v>44</v>
      </c>
      <c r="J61" s="125" t="n">
        <f aca="false">$J36*$P$3</f>
        <v>893.074035663281</v>
      </c>
      <c r="K61" s="125"/>
      <c r="L61" s="125"/>
      <c r="M61" s="125"/>
      <c r="N61" s="125"/>
      <c r="O61" s="125"/>
      <c r="P61" s="126"/>
    </row>
    <row r="62" customFormat="false" ht="12.8" hidden="false" customHeight="false" outlineLevel="0" collapsed="false">
      <c r="A62" s="71"/>
      <c r="B62" s="71"/>
      <c r="C62" s="71"/>
      <c r="D62" s="71"/>
      <c r="E62" s="71"/>
      <c r="F62" s="71"/>
      <c r="I62" s="178" t="s">
        <v>100</v>
      </c>
      <c r="J62" s="125" t="n">
        <f aca="false">$J37*$Q$3</f>
        <v>1260</v>
      </c>
      <c r="K62" s="125"/>
      <c r="L62" s="125"/>
      <c r="M62" s="125"/>
      <c r="N62" s="125"/>
      <c r="O62" s="125"/>
      <c r="P62" s="126"/>
    </row>
    <row r="63" customFormat="false" ht="12.8" hidden="false" customHeight="false" outlineLevel="0" collapsed="false">
      <c r="A63" s="71"/>
      <c r="B63" s="71"/>
      <c r="C63" s="71"/>
      <c r="D63" s="71"/>
      <c r="E63" s="71"/>
      <c r="F63" s="71"/>
      <c r="I63" s="203" t="s">
        <v>43</v>
      </c>
      <c r="J63" s="204" t="n">
        <f aca="false">$J39*$O$3</f>
        <v>-2358.25732689406</v>
      </c>
      <c r="K63" s="207" t="n">
        <f aca="false">SUM(J63:J65)</f>
        <v>-205.183291230779</v>
      </c>
      <c r="L63" s="207" t="n">
        <f aca="false">($O$6*$J39)+($P$6*$J40)+($Q$6*$J41)</f>
        <v>-306.218468954165</v>
      </c>
      <c r="M63" s="207" t="n">
        <f aca="false">($L63/$K63)*100</f>
        <v>149.241425613818</v>
      </c>
      <c r="N63" s="207" t="n">
        <f aca="false">($O$7*$J39)+($P$7*$J40)+($Q$7*$J41)</f>
        <v>-270.870809682749</v>
      </c>
      <c r="O63" s="207" t="n">
        <f aca="false">($N63/$K63)*100</f>
        <v>132.014068035437</v>
      </c>
      <c r="P63" s="208" t="n">
        <f aca="false">$N63/$L63</f>
        <v>0.884567186975562</v>
      </c>
    </row>
    <row r="64" customFormat="false" ht="12.8" hidden="false" customHeight="false" outlineLevel="0" collapsed="false">
      <c r="A64" s="71"/>
      <c r="B64" s="71"/>
      <c r="C64" s="71"/>
      <c r="D64" s="71"/>
      <c r="E64" s="71"/>
      <c r="F64" s="71"/>
      <c r="I64" s="203" t="s">
        <v>44</v>
      </c>
      <c r="J64" s="204" t="n">
        <f aca="false">$J40*$P$3</f>
        <v>893.074035663281</v>
      </c>
      <c r="K64" s="207"/>
      <c r="L64" s="207"/>
      <c r="M64" s="207"/>
      <c r="N64" s="207"/>
      <c r="O64" s="207"/>
      <c r="P64" s="208"/>
    </row>
    <row r="65" customFormat="false" ht="12.8" hidden="false" customHeight="false" outlineLevel="0" collapsed="false">
      <c r="A65" s="71"/>
      <c r="B65" s="71"/>
      <c r="C65" s="71"/>
      <c r="D65" s="71"/>
      <c r="E65" s="71"/>
      <c r="F65" s="71"/>
      <c r="I65" s="206" t="s">
        <v>100</v>
      </c>
      <c r="J65" s="207" t="n">
        <f aca="false">$J41*$Q$3</f>
        <v>1260</v>
      </c>
      <c r="K65" s="207"/>
      <c r="L65" s="207"/>
      <c r="M65" s="207"/>
      <c r="N65" s="207"/>
      <c r="O65" s="207"/>
      <c r="P65" s="208"/>
    </row>
    <row r="66" customFormat="false" ht="12.8" hidden="false" customHeight="false" outlineLevel="0" collapsed="false">
      <c r="A66" s="71"/>
      <c r="B66" s="71"/>
      <c r="C66" s="71"/>
      <c r="D66" s="71"/>
      <c r="E66" s="71"/>
      <c r="F66" s="71"/>
    </row>
    <row r="67" customFormat="false" ht="12.8" hidden="false" customHeight="false" outlineLevel="0" collapsed="false">
      <c r="A67" s="71"/>
      <c r="B67" s="71"/>
      <c r="C67" s="71"/>
      <c r="D67" s="71"/>
      <c r="E67" s="71"/>
      <c r="F67" s="71"/>
      <c r="J67" s="211" t="s">
        <v>74</v>
      </c>
      <c r="L67" s="212" t="s">
        <v>75</v>
      </c>
      <c r="M67" s="213" t="s">
        <v>76</v>
      </c>
      <c r="N67" s="213" t="s">
        <v>62</v>
      </c>
      <c r="O67" s="214" t="s">
        <v>77</v>
      </c>
    </row>
    <row r="68" customFormat="false" ht="12.8" hidden="false" customHeight="false" outlineLevel="0" collapsed="false">
      <c r="A68" s="71"/>
      <c r="B68" s="71"/>
      <c r="C68" s="71"/>
      <c r="D68" s="71"/>
      <c r="E68" s="71"/>
      <c r="F68" s="71"/>
      <c r="J68" s="215" t="n">
        <v>10</v>
      </c>
      <c r="L68" s="216" t="n">
        <f aca="false">$M48/$J$68</f>
        <v>6.04890705631496</v>
      </c>
      <c r="M68" s="217" t="n">
        <f aca="false">$N48/$L68</f>
        <v>230.182889067108</v>
      </c>
      <c r="N68" s="217" t="n">
        <f aca="false">$L68*$J22</f>
        <v>13.8479481948059</v>
      </c>
      <c r="O68" s="218" t="n">
        <f aca="false">$M68/$N68</f>
        <v>16.6221656688061</v>
      </c>
    </row>
    <row r="69" customFormat="false" ht="12.8" hidden="false" customHeight="false" outlineLevel="0" collapsed="false">
      <c r="A69" s="71"/>
      <c r="B69" s="71"/>
      <c r="C69" s="71"/>
      <c r="D69" s="71"/>
      <c r="E69" s="71"/>
      <c r="F69" s="71"/>
      <c r="J69" s="219" t="n">
        <v>15</v>
      </c>
      <c r="L69" s="220" t="n">
        <f aca="false">$M48/$J$69</f>
        <v>4.03260470420997</v>
      </c>
      <c r="M69" s="221" t="n">
        <f aca="false">$N48/$L69</f>
        <v>345.274333600661</v>
      </c>
      <c r="N69" s="221" t="n">
        <f aca="false">$L69*$J22</f>
        <v>9.23196546320394</v>
      </c>
      <c r="O69" s="222" t="n">
        <f aca="false">$M69/$N69</f>
        <v>37.3998727548136</v>
      </c>
    </row>
    <row r="70" customFormat="false" ht="12.8" hidden="false" customHeight="false" outlineLevel="0" collapsed="false">
      <c r="A70" s="71"/>
      <c r="B70" s="71"/>
      <c r="C70" s="71"/>
      <c r="D70" s="71"/>
      <c r="E70" s="71"/>
      <c r="F70" s="71"/>
      <c r="L70" s="98" t="n">
        <f aca="false">$M51/$J$68</f>
        <v>8.77438876133041</v>
      </c>
      <c r="M70" s="100" t="n">
        <f aca="false">$N51/$L70</f>
        <v>158.024487751861</v>
      </c>
      <c r="N70" s="100" t="n">
        <f aca="false">$L70*$J26</f>
        <v>15.010078104981</v>
      </c>
      <c r="O70" s="127" t="n">
        <f aca="false">$M70/$N70</f>
        <v>10.5278924364439</v>
      </c>
    </row>
    <row r="71" customFormat="false" ht="12.8" hidden="false" customHeight="false" outlineLevel="0" collapsed="false">
      <c r="A71" s="71"/>
      <c r="B71" s="71"/>
      <c r="C71" s="71"/>
      <c r="D71" s="71"/>
      <c r="E71" s="71"/>
      <c r="F71" s="71"/>
      <c r="L71" s="223" t="n">
        <f aca="false">$M51/$J$69</f>
        <v>5.84959250755361</v>
      </c>
      <c r="M71" s="224" t="n">
        <f aca="false">$N51/$L71</f>
        <v>237.036731627792</v>
      </c>
      <c r="N71" s="224" t="n">
        <f aca="false">$L71*$J26</f>
        <v>10.006718736654</v>
      </c>
      <c r="O71" s="225" t="n">
        <f aca="false">$M71/$N71</f>
        <v>23.6877579819988</v>
      </c>
    </row>
    <row r="72" customFormat="false" ht="12.8" hidden="false" customHeight="false" outlineLevel="0" collapsed="false">
      <c r="A72" s="71"/>
      <c r="B72" s="71"/>
      <c r="C72" s="71"/>
      <c r="D72" s="71"/>
      <c r="E72" s="71"/>
      <c r="F72" s="71"/>
      <c r="L72" s="226" t="n">
        <f aca="false">$M54/$J$68</f>
        <v>5.06475076975592</v>
      </c>
      <c r="M72" s="227" t="n">
        <f aca="false">$N54/$L72</f>
        <v>366.110780676631</v>
      </c>
      <c r="N72" s="227" t="n">
        <f aca="false">$L72*$J26</f>
        <v>8.66411401456664</v>
      </c>
      <c r="O72" s="228" t="n">
        <f aca="false">$M72/$N72</f>
        <v>42.2559975620246</v>
      </c>
    </row>
    <row r="73" customFormat="false" ht="12.8" hidden="false" customHeight="false" outlineLevel="0" collapsed="false">
      <c r="A73" s="71"/>
      <c r="B73" s="71"/>
      <c r="C73" s="71"/>
      <c r="D73" s="71"/>
      <c r="E73" s="71"/>
      <c r="F73" s="71"/>
      <c r="L73" s="229" t="n">
        <f aca="false">$M54/$J$69</f>
        <v>3.37650051317061</v>
      </c>
      <c r="M73" s="230" t="n">
        <f aca="false">$N54/$L73</f>
        <v>549.166171014947</v>
      </c>
      <c r="N73" s="230" t="n">
        <f aca="false">$L73*$J26</f>
        <v>5.77607600971109</v>
      </c>
      <c r="O73" s="231" t="n">
        <f aca="false">$M73/$N73</f>
        <v>95.0759945145554</v>
      </c>
    </row>
    <row r="74" customFormat="false" ht="12.8" hidden="false" customHeight="false" outlineLevel="0" collapsed="false">
      <c r="A74" s="71"/>
      <c r="B74" s="71"/>
      <c r="C74" s="71"/>
      <c r="D74" s="71"/>
      <c r="E74" s="71"/>
      <c r="F74" s="71"/>
      <c r="L74" s="86" t="n">
        <f aca="false">$M57/$J$68</f>
        <v>-8.01457950343325</v>
      </c>
      <c r="M74" s="87" t="n">
        <f aca="false">$N57/$L74</f>
        <v>98.900547294765</v>
      </c>
      <c r="N74" s="87" t="n">
        <f aca="false">$L74*$J34</f>
        <v>-3.81841692412294</v>
      </c>
      <c r="O74" s="122" t="n">
        <f aca="false">$M74/$N74</f>
        <v>-25.9009294322887</v>
      </c>
    </row>
    <row r="75" customFormat="false" ht="12.8" hidden="false" customHeight="false" outlineLevel="0" collapsed="false">
      <c r="A75" s="71"/>
      <c r="B75" s="71"/>
      <c r="C75" s="71"/>
      <c r="D75" s="71"/>
      <c r="E75" s="71"/>
      <c r="F75" s="71"/>
      <c r="L75" s="232" t="n">
        <f aca="false">$M57/$J$69</f>
        <v>-5.34305300228883</v>
      </c>
      <c r="M75" s="233" t="n">
        <f aca="false">$N57/$L75</f>
        <v>148.350820942148</v>
      </c>
      <c r="N75" s="233" t="n">
        <f aca="false">$L75*$J34</f>
        <v>-2.54561128274863</v>
      </c>
      <c r="O75" s="234" t="n">
        <f aca="false">$M75/$N75</f>
        <v>-58.2770912226495</v>
      </c>
    </row>
    <row r="76" customFormat="false" ht="12.8" hidden="false" customHeight="false" outlineLevel="0" collapsed="false">
      <c r="A76" s="71"/>
      <c r="B76" s="71"/>
      <c r="C76" s="71"/>
      <c r="D76" s="71"/>
      <c r="E76" s="71"/>
      <c r="F76" s="71"/>
      <c r="L76" s="235" t="n">
        <f aca="false">$M60/$J$68</f>
        <v>4.56997345539065</v>
      </c>
      <c r="M76" s="236" t="n">
        <f aca="false">$N60/$L76</f>
        <v>443.805737981981</v>
      </c>
      <c r="N76" s="236" t="n">
        <f aca="false">$L76*$J38</f>
        <v>19.2268002369976</v>
      </c>
      <c r="O76" s="237" t="n">
        <f aca="false">$M76/$N76</f>
        <v>23.0826623521047</v>
      </c>
    </row>
    <row r="77" customFormat="false" ht="12.8" hidden="false" customHeight="false" outlineLevel="0" collapsed="false">
      <c r="A77" s="71"/>
      <c r="B77" s="71"/>
      <c r="C77" s="71"/>
      <c r="D77" s="71"/>
      <c r="E77" s="71"/>
      <c r="F77" s="71"/>
      <c r="L77" s="238" t="n">
        <f aca="false">$M60/$J$69</f>
        <v>3.04664897026043</v>
      </c>
      <c r="M77" s="239" t="n">
        <f aca="false">$N60/$L77</f>
        <v>665.708606972971</v>
      </c>
      <c r="N77" s="239" t="n">
        <f aca="false">$L77*$J38</f>
        <v>12.817866824665</v>
      </c>
      <c r="O77" s="240" t="n">
        <f aca="false">$M77/$N77</f>
        <v>51.9359902922355</v>
      </c>
    </row>
    <row r="78" customFormat="false" ht="12.8" hidden="false" customHeight="false" outlineLevel="0" collapsed="false">
      <c r="A78" s="71"/>
      <c r="B78" s="71"/>
      <c r="C78" s="71"/>
      <c r="D78" s="71"/>
      <c r="E78" s="71"/>
      <c r="F78" s="71"/>
      <c r="L78" s="241" t="n">
        <f aca="false">$M63/$J$68</f>
        <v>14.9241425613818</v>
      </c>
      <c r="M78" s="242" t="n">
        <f aca="false">$N63/$L78</f>
        <v>-18.1498406738397</v>
      </c>
      <c r="N78" s="242" t="n">
        <f aca="false">$L78*$J42</f>
        <v>-3.09230818826063</v>
      </c>
      <c r="O78" s="243" t="n">
        <f aca="false">$M78/$N78</f>
        <v>5.86935052034665</v>
      </c>
    </row>
    <row r="79" customFormat="false" ht="12.8" hidden="false" customHeight="false" outlineLevel="0" collapsed="false">
      <c r="A79" s="71"/>
      <c r="B79" s="71"/>
      <c r="C79" s="71"/>
      <c r="D79" s="71"/>
      <c r="E79" s="71"/>
      <c r="F79" s="71"/>
      <c r="L79" s="244" t="n">
        <f aca="false">$M63/$J$69</f>
        <v>9.94942837425451</v>
      </c>
      <c r="M79" s="245" t="n">
        <f aca="false">$N63/$L79</f>
        <v>-27.2247610107596</v>
      </c>
      <c r="N79" s="245" t="n">
        <f aca="false">$L79*$J42</f>
        <v>-2.06153879217375</v>
      </c>
      <c r="O79" s="246" t="n">
        <f aca="false">$M79/$N79</f>
        <v>13.20603867078</v>
      </c>
    </row>
    <row r="80" customFormat="false" ht="12.8" hidden="false" customHeight="false" outlineLevel="0" collapsed="false">
      <c r="A80" s="71"/>
      <c r="B80" s="71"/>
      <c r="C80" s="71"/>
      <c r="D80" s="71"/>
      <c r="E80" s="71"/>
      <c r="F80" s="71"/>
    </row>
    <row r="81" customFormat="false" ht="12.8" hidden="false" customHeight="false" outlineLevel="0" collapsed="false">
      <c r="A81" s="71"/>
      <c r="B81" s="71"/>
      <c r="C81" s="71"/>
      <c r="D81" s="71"/>
      <c r="E81" s="71"/>
      <c r="F81" s="71"/>
    </row>
    <row r="82" customFormat="false" ht="12.8" hidden="false" customHeight="false" outlineLevel="0" collapsed="false">
      <c r="A82" s="71"/>
      <c r="B82" s="71"/>
      <c r="C82" s="71"/>
      <c r="D82" s="71"/>
      <c r="E82" s="71"/>
      <c r="F82" s="71"/>
      <c r="I82" s="198" t="s">
        <v>78</v>
      </c>
      <c r="J82" s="198"/>
      <c r="K82" s="198"/>
      <c r="L82" s="198"/>
      <c r="M82" s="198"/>
      <c r="N82" s="198"/>
      <c r="O82" s="198"/>
    </row>
    <row r="83" customFormat="false" ht="12.8" hidden="false" customHeight="false" outlineLevel="0" collapsed="false">
      <c r="A83" s="71"/>
      <c r="B83" s="71"/>
      <c r="C83" s="71"/>
      <c r="D83" s="71"/>
      <c r="E83" s="71"/>
      <c r="F83" s="71"/>
    </row>
    <row r="84" customFormat="false" ht="13.8" hidden="false" customHeight="false" outlineLevel="0" collapsed="false">
      <c r="A84" s="71"/>
      <c r="B84" s="71"/>
      <c r="C84" s="71"/>
      <c r="D84" s="71"/>
      <c r="E84" s="71"/>
      <c r="F84" s="71"/>
      <c r="I84" s="131" t="s">
        <v>62</v>
      </c>
      <c r="J84" s="198" t="s">
        <v>80</v>
      </c>
      <c r="K84" s="132" t="s">
        <v>81</v>
      </c>
      <c r="L84" s="133" t="s">
        <v>82</v>
      </c>
      <c r="N84" s="211" t="s">
        <v>83</v>
      </c>
    </row>
    <row r="85" customFormat="false" ht="13.8" hidden="false" customHeight="false" outlineLevel="0" collapsed="false">
      <c r="A85" s="71"/>
      <c r="B85" s="71"/>
      <c r="C85" s="71"/>
      <c r="D85" s="71"/>
      <c r="E85" s="71"/>
      <c r="F85" s="71"/>
      <c r="I85" s="131" t="n">
        <v>1</v>
      </c>
      <c r="J85" s="198" t="n">
        <f aca="false">I85/1000</f>
        <v>0.001</v>
      </c>
      <c r="K85" s="247" t="n">
        <v>30</v>
      </c>
      <c r="L85" s="248" t="n">
        <f aca="false">I85/K85</f>
        <v>0.0333333333333333</v>
      </c>
      <c r="N85" s="219" t="n">
        <v>2</v>
      </c>
    </row>
    <row r="86" customFormat="false" ht="12.8" hidden="false" customHeight="false" outlineLevel="0" collapsed="false">
      <c r="A86" s="71"/>
      <c r="B86" s="71"/>
      <c r="C86" s="71"/>
      <c r="D86" s="71"/>
      <c r="E86" s="71"/>
      <c r="F86" s="71"/>
    </row>
    <row r="87" customFormat="false" ht="13.8" hidden="false" customHeight="false" outlineLevel="0" collapsed="false">
      <c r="A87" s="71"/>
      <c r="B87" s="71"/>
      <c r="C87" s="71"/>
      <c r="D87" s="71"/>
      <c r="E87" s="71"/>
      <c r="F87" s="71"/>
      <c r="I87" s="209" t="s">
        <v>87</v>
      </c>
      <c r="J87" s="198" t="s">
        <v>88</v>
      </c>
      <c r="K87" s="133" t="s">
        <v>89</v>
      </c>
      <c r="M87" s="211" t="s">
        <v>90</v>
      </c>
      <c r="N87" s="211" t="s">
        <v>62</v>
      </c>
      <c r="O87" s="211" t="s">
        <v>91</v>
      </c>
    </row>
    <row r="88" customFormat="false" ht="12.8" hidden="false" customHeight="false" outlineLevel="0" collapsed="false">
      <c r="A88" s="71"/>
      <c r="B88" s="71"/>
      <c r="C88" s="71"/>
      <c r="D88" s="71"/>
      <c r="E88" s="71"/>
      <c r="F88" s="71"/>
      <c r="I88" s="216" t="n">
        <f aca="false">$O68*$L$85</f>
        <v>0.554072188960202</v>
      </c>
      <c r="J88" s="217" t="n">
        <f aca="false">$I88/1000</f>
        <v>0.000554072188960202</v>
      </c>
      <c r="K88" s="217" t="n">
        <f aca="false">$J88*(1/$J$85)</f>
        <v>0.554072188960202</v>
      </c>
      <c r="M88" s="216" t="n">
        <f aca="false">$K88/$N$85</f>
        <v>0.277036094480101</v>
      </c>
      <c r="N88" s="217" t="n">
        <f aca="false">$M88*$N68</f>
        <v>3.83638148445179</v>
      </c>
      <c r="O88" s="217" t="n">
        <f aca="false">($M48*$J22)/$N88</f>
        <v>36.0963794943994</v>
      </c>
    </row>
    <row r="89" customFormat="false" ht="12.8" hidden="false" customHeight="false" outlineLevel="0" collapsed="false">
      <c r="A89" s="71"/>
      <c r="B89" s="71"/>
      <c r="C89" s="71"/>
      <c r="D89" s="71"/>
      <c r="E89" s="71"/>
      <c r="F89" s="71"/>
      <c r="I89" s="220" t="n">
        <f aca="false">$O69*$L$85</f>
        <v>1.24666242516045</v>
      </c>
      <c r="J89" s="221" t="n">
        <f aca="false">$I89/1000</f>
        <v>0.00124666242516045</v>
      </c>
      <c r="K89" s="221" t="n">
        <f aca="false">$J89*(1/$J$85)</f>
        <v>1.24666242516045</v>
      </c>
      <c r="M89" s="220" t="n">
        <f aca="false">$K89/$N$85</f>
        <v>0.623331212580227</v>
      </c>
      <c r="N89" s="221" t="n">
        <f aca="false">$M89*$N69</f>
        <v>5.75457222667769</v>
      </c>
      <c r="O89" s="221" t="n">
        <f aca="false">($M48*$J22)/$N89</f>
        <v>24.0642529962662</v>
      </c>
    </row>
    <row r="90" customFormat="false" ht="12.8" hidden="false" customHeight="false" outlineLevel="0" collapsed="false">
      <c r="A90" s="71"/>
      <c r="B90" s="71"/>
      <c r="C90" s="71"/>
      <c r="D90" s="71"/>
      <c r="E90" s="71"/>
      <c r="F90" s="71"/>
      <c r="I90" s="98" t="n">
        <f aca="false">$O70*$L$85</f>
        <v>0.350929747881463</v>
      </c>
      <c r="J90" s="100" t="n">
        <f aca="false">$I90/1000</f>
        <v>0.000350929747881463</v>
      </c>
      <c r="K90" s="100" t="n">
        <f aca="false">$J90*(1/$J$85)</f>
        <v>0.350929747881463</v>
      </c>
      <c r="M90" s="98" t="n">
        <f aca="false">$K90/$N$85</f>
        <v>0.175464873940732</v>
      </c>
      <c r="N90" s="100" t="n">
        <f aca="false">$M90*$N70</f>
        <v>2.63374146253102</v>
      </c>
      <c r="O90" s="100" t="n">
        <f aca="false">($M51*$J26)/$N90</f>
        <v>56.9914637352305</v>
      </c>
    </row>
    <row r="91" customFormat="false" ht="12.8" hidden="false" customHeight="false" outlineLevel="0" collapsed="false">
      <c r="A91" s="71"/>
      <c r="B91" s="71"/>
      <c r="C91" s="71"/>
      <c r="D91" s="71"/>
      <c r="E91" s="71"/>
      <c r="F91" s="71"/>
      <c r="I91" s="223" t="n">
        <f aca="false">$O71*$L$85</f>
        <v>0.789591932733292</v>
      </c>
      <c r="J91" s="224" t="n">
        <f aca="false">$I91/1000</f>
        <v>0.000789591932733292</v>
      </c>
      <c r="K91" s="224" t="n">
        <f aca="false">$J91*(1/$J$85)</f>
        <v>0.789591932733292</v>
      </c>
      <c r="M91" s="223" t="n">
        <f aca="false">$K91/$N$85</f>
        <v>0.394795966366646</v>
      </c>
      <c r="N91" s="224" t="n">
        <f aca="false">$M91*$N71</f>
        <v>3.95061219379653</v>
      </c>
      <c r="O91" s="224" t="n">
        <f aca="false">($M51*$J26)/$N91</f>
        <v>37.9943091568203</v>
      </c>
    </row>
    <row r="92" customFormat="false" ht="12.8" hidden="false" customHeight="false" outlineLevel="0" collapsed="false">
      <c r="A92" s="71"/>
      <c r="B92" s="71"/>
      <c r="C92" s="71"/>
      <c r="D92" s="71"/>
      <c r="E92" s="71"/>
      <c r="F92" s="71"/>
      <c r="I92" s="226" t="n">
        <f aca="false">$O72*$L$85</f>
        <v>1.40853325206749</v>
      </c>
      <c r="J92" s="227" t="n">
        <f aca="false">$I92/1000</f>
        <v>0.00140853325206749</v>
      </c>
      <c r="K92" s="227" t="n">
        <f aca="false">$J92*(1/$J$85)</f>
        <v>1.40853325206749</v>
      </c>
      <c r="M92" s="226" t="n">
        <f aca="false">$K92/$N$85</f>
        <v>0.704266626033744</v>
      </c>
      <c r="N92" s="227" t="n">
        <f aca="false">$M92*$N72</f>
        <v>6.10184634461052</v>
      </c>
      <c r="O92" s="227" t="n">
        <f aca="false">($M54*$J30)/$N92</f>
        <v>29.2468597059809</v>
      </c>
    </row>
    <row r="93" customFormat="false" ht="12.8" hidden="false" customHeight="false" outlineLevel="0" collapsed="false">
      <c r="A93" s="71"/>
      <c r="B93" s="71"/>
      <c r="C93" s="71"/>
      <c r="D93" s="71"/>
      <c r="E93" s="71"/>
      <c r="F93" s="71"/>
      <c r="I93" s="229" t="n">
        <f aca="false">$O73*$L$85</f>
        <v>3.16919981715184</v>
      </c>
      <c r="J93" s="230" t="n">
        <f aca="false">$I93/1000</f>
        <v>0.00316919981715184</v>
      </c>
      <c r="K93" s="230" t="n">
        <f aca="false">$J93*(1/$J$85)</f>
        <v>3.16919981715184</v>
      </c>
      <c r="M93" s="229" t="n">
        <f aca="false">$K93/$N$85</f>
        <v>1.58459990857592</v>
      </c>
      <c r="N93" s="230" t="n">
        <f aca="false">$M93*$N73</f>
        <v>9.15276951691577</v>
      </c>
      <c r="O93" s="230" t="n">
        <f aca="false">($M54*$J30)/$N93</f>
        <v>19.497906470654</v>
      </c>
    </row>
    <row r="94" customFormat="false" ht="12.8" hidden="false" customHeight="false" outlineLevel="0" collapsed="false">
      <c r="A94" s="71"/>
      <c r="B94" s="71"/>
      <c r="C94" s="71"/>
      <c r="D94" s="71"/>
      <c r="E94" s="71"/>
      <c r="F94" s="71"/>
      <c r="I94" s="86" t="n">
        <f aca="false">$O74*$L$85</f>
        <v>-0.863364314409622</v>
      </c>
      <c r="J94" s="87" t="n">
        <f aca="false">$I94/1000</f>
        <v>-0.000863364314409622</v>
      </c>
      <c r="K94" s="87" t="n">
        <f aca="false">$J94*(1/$J$85)</f>
        <v>-0.863364314409622</v>
      </c>
      <c r="M94" s="86" t="n">
        <f aca="false">$K94/$N$85</f>
        <v>-0.431682157204811</v>
      </c>
      <c r="N94" s="87" t="n">
        <f aca="false">$M94*$N74</f>
        <v>1.64834245491275</v>
      </c>
      <c r="O94" s="87" t="n">
        <f aca="false">($M57*$J34)/$N94</f>
        <v>-23.1651918734633</v>
      </c>
    </row>
    <row r="95" customFormat="false" ht="12.8" hidden="false" customHeight="false" outlineLevel="0" collapsed="false">
      <c r="A95" s="71"/>
      <c r="B95" s="71"/>
      <c r="C95" s="71"/>
      <c r="D95" s="71"/>
      <c r="E95" s="71"/>
      <c r="F95" s="71"/>
      <c r="I95" s="232" t="n">
        <f aca="false">$O75*$L$85</f>
        <v>-1.94256970742165</v>
      </c>
      <c r="J95" s="233" t="n">
        <f aca="false">$I95/1000</f>
        <v>-0.00194256970742165</v>
      </c>
      <c r="K95" s="233" t="n">
        <f aca="false">$J95*(1/$J$85)</f>
        <v>-1.94256970742165</v>
      </c>
      <c r="M95" s="232" t="n">
        <f aca="false">$K95/$N$85</f>
        <v>-0.971284853710825</v>
      </c>
      <c r="N95" s="233" t="n">
        <f aca="false">$M95*$N75</f>
        <v>2.47251368236913</v>
      </c>
      <c r="O95" s="233" t="n">
        <f aca="false">($M57*$J34)/$N95</f>
        <v>-15.4434612489755</v>
      </c>
    </row>
    <row r="96" customFormat="false" ht="12.8" hidden="false" customHeight="false" outlineLevel="0" collapsed="false">
      <c r="A96" s="71"/>
      <c r="B96" s="71"/>
      <c r="C96" s="71"/>
      <c r="D96" s="71"/>
      <c r="E96" s="71"/>
      <c r="F96" s="71"/>
      <c r="I96" s="235" t="n">
        <f aca="false">$O76*$L$85</f>
        <v>0.769422078403489</v>
      </c>
      <c r="J96" s="236" t="n">
        <f aca="false">$I96/1000</f>
        <v>0.000769422078403489</v>
      </c>
      <c r="K96" s="236" t="n">
        <f aca="false">$J96*(1/$J$85)</f>
        <v>0.769422078403489</v>
      </c>
      <c r="M96" s="235" t="n">
        <f aca="false">$K96/$N$85</f>
        <v>0.384711039201745</v>
      </c>
      <c r="N96" s="236" t="n">
        <f aca="false">$M96*$N76</f>
        <v>7.39676229969968</v>
      </c>
      <c r="O96" s="236" t="n">
        <f aca="false">($M60*$J38)/$N96</f>
        <v>25.993535357731</v>
      </c>
    </row>
    <row r="97" customFormat="false" ht="12.8" hidden="false" customHeight="false" outlineLevel="0" collapsed="false">
      <c r="A97" s="71"/>
      <c r="B97" s="71"/>
      <c r="C97" s="71"/>
      <c r="D97" s="71"/>
      <c r="E97" s="71"/>
      <c r="F97" s="71"/>
      <c r="I97" s="238" t="n">
        <f aca="false">$O77*$L$85</f>
        <v>1.73119967640785</v>
      </c>
      <c r="J97" s="239" t="n">
        <f aca="false">$I97/1000</f>
        <v>0.00173119967640785</v>
      </c>
      <c r="K97" s="239" t="n">
        <f aca="false">$J97*(1/$J$85)</f>
        <v>1.73119967640785</v>
      </c>
      <c r="M97" s="238" t="n">
        <f aca="false">$K97/$N$85</f>
        <v>0.865599838203926</v>
      </c>
      <c r="N97" s="239" t="n">
        <f aca="false">$M97*$N77</f>
        <v>11.0951434495495</v>
      </c>
      <c r="O97" s="239" t="n">
        <f aca="false">($M60*$J38)/$N97</f>
        <v>17.3290235718207</v>
      </c>
    </row>
    <row r="98" customFormat="false" ht="12.8" hidden="false" customHeight="false" outlineLevel="0" collapsed="false">
      <c r="A98" s="71"/>
      <c r="B98" s="71"/>
      <c r="C98" s="71"/>
      <c r="D98" s="71"/>
      <c r="E98" s="71"/>
      <c r="F98" s="71"/>
      <c r="I98" s="241" t="n">
        <f aca="false">$O78*$L$85</f>
        <v>0.195645017344888</v>
      </c>
      <c r="J98" s="242" t="n">
        <f aca="false">$I98/1000</f>
        <v>0.000195645017344888</v>
      </c>
      <c r="K98" s="242" t="n">
        <f aca="false">$J98*(1/$J$85)</f>
        <v>0.195645017344888</v>
      </c>
      <c r="M98" s="241" t="n">
        <f aca="false">$K98/$N$85</f>
        <v>0.0978225086724442</v>
      </c>
      <c r="N98" s="242" t="n">
        <f aca="false">$M98*$N78</f>
        <v>-0.302497344563995</v>
      </c>
      <c r="O98" s="242" t="n">
        <f aca="false">($M63*$J42)/$N98</f>
        <v>102.225961444975</v>
      </c>
    </row>
    <row r="99" customFormat="false" ht="12.8" hidden="false" customHeight="false" outlineLevel="0" collapsed="false">
      <c r="A99" s="71"/>
      <c r="B99" s="71"/>
      <c r="C99" s="71"/>
      <c r="D99" s="71"/>
      <c r="E99" s="71"/>
      <c r="F99" s="71"/>
      <c r="I99" s="244" t="n">
        <f aca="false">$O79*$L$85</f>
        <v>0.440201289025999</v>
      </c>
      <c r="J99" s="245" t="n">
        <f aca="false">$I99/1000</f>
        <v>0.000440201289025999</v>
      </c>
      <c r="K99" s="245" t="n">
        <f aca="false">$J99*(1/$J$85)</f>
        <v>0.440201289025999</v>
      </c>
      <c r="M99" s="244" t="n">
        <f aca="false">$K99/$N$85</f>
        <v>0.220100644513</v>
      </c>
      <c r="N99" s="245" t="n">
        <f aca="false">$M99*$N79</f>
        <v>-0.453746016845993</v>
      </c>
      <c r="O99" s="245" t="n">
        <f aca="false">($M63*$J42)/$N99</f>
        <v>68.1506409633166</v>
      </c>
    </row>
    <row r="100" customFormat="false" ht="12.8" hidden="false" customHeight="false" outlineLevel="0" collapsed="false">
      <c r="A100" s="187"/>
      <c r="B100" s="187"/>
      <c r="C100" s="187"/>
      <c r="D100" s="187"/>
      <c r="E100" s="187"/>
      <c r="F100" s="187"/>
    </row>
    <row r="101" customFormat="false" ht="12.8" hidden="false" customHeight="false" outlineLevel="0" collapsed="false">
      <c r="I101" s="198" t="s">
        <v>92</v>
      </c>
      <c r="J101" s="198"/>
      <c r="K101" s="198"/>
      <c r="L101" s="198"/>
      <c r="M101" s="198"/>
    </row>
    <row r="102" customFormat="false" ht="12.8" hidden="false" customHeight="false" outlineLevel="0" collapsed="false">
      <c r="I102" s="249"/>
      <c r="J102" s="249"/>
      <c r="K102" s="249"/>
      <c r="L102" s="249"/>
      <c r="M102" s="249"/>
    </row>
    <row r="103" customFormat="false" ht="12.8" hidden="false" customHeight="false" outlineLevel="0" collapsed="false">
      <c r="I103" s="198" t="s">
        <v>93</v>
      </c>
      <c r="J103" s="198"/>
      <c r="K103" s="198"/>
      <c r="L103" s="198"/>
      <c r="M103" s="198"/>
    </row>
    <row r="104" customFormat="false" ht="12.8" hidden="false" customHeight="false" outlineLevel="0" collapsed="false">
      <c r="I104" s="198" t="s">
        <v>64</v>
      </c>
      <c r="J104" s="249"/>
      <c r="K104" s="249"/>
      <c r="L104" s="249"/>
      <c r="M104" s="249"/>
    </row>
    <row r="105" customFormat="false" ht="12.8" hidden="false" customHeight="false" outlineLevel="0" collapsed="false">
      <c r="I105" s="250" t="n">
        <v>500</v>
      </c>
      <c r="J105" s="249"/>
      <c r="K105" s="249"/>
      <c r="L105" s="249"/>
      <c r="M105" s="249"/>
    </row>
    <row r="106" customFormat="false" ht="12.8" hidden="false" customHeight="false" outlineLevel="0" collapsed="false">
      <c r="I106" s="209" t="s">
        <v>39</v>
      </c>
      <c r="J106" s="198" t="s">
        <v>64</v>
      </c>
      <c r="K106" s="198" t="s">
        <v>94</v>
      </c>
      <c r="L106" s="198" t="s">
        <v>95</v>
      </c>
      <c r="M106" s="210" t="s">
        <v>96</v>
      </c>
    </row>
    <row r="107" customFormat="false" ht="12.8" hidden="false" customHeight="false" outlineLevel="0" collapsed="false">
      <c r="I107" s="251" t="s">
        <v>43</v>
      </c>
      <c r="J107" s="217" t="n">
        <f aca="false">($J$22/$N68)*$I$105</f>
        <v>82.6595607016326</v>
      </c>
      <c r="K107" s="217" t="n">
        <f aca="false">$J$19/$J$22</f>
        <v>0.436808902750213</v>
      </c>
      <c r="L107" s="217" t="n">
        <f aca="false">K107*$J107</f>
        <v>36.1064320118947</v>
      </c>
      <c r="M107" s="218" t="n">
        <f aca="false">L107*($O$3/1000)</f>
        <v>38.5774696545298</v>
      </c>
    </row>
    <row r="108" customFormat="false" ht="12.8" hidden="false" customHeight="false" outlineLevel="0" collapsed="false">
      <c r="I108" s="200" t="s">
        <v>44</v>
      </c>
      <c r="J108" s="217"/>
      <c r="K108" s="201" t="n">
        <f aca="false">$J$20/$J$22</f>
        <v>0.436808902750213</v>
      </c>
      <c r="L108" s="201" t="n">
        <f aca="false">K108*$J107</f>
        <v>36.1064320118947</v>
      </c>
      <c r="M108" s="202" t="n">
        <f aca="false">L108*($P$3/1000)</f>
        <v>32.2457169502647</v>
      </c>
    </row>
    <row r="109" customFormat="false" ht="12.8" hidden="false" customHeight="false" outlineLevel="0" collapsed="false">
      <c r="I109" s="200" t="s">
        <v>100</v>
      </c>
      <c r="J109" s="217"/>
      <c r="K109" s="201" t="n">
        <f aca="false">$J$21/$J$22</f>
        <v>0.126382194499575</v>
      </c>
      <c r="L109" s="201" t="n">
        <f aca="false">K109*$J107</f>
        <v>10.4466966778431</v>
      </c>
      <c r="M109" s="202" t="n">
        <f aca="false">L109*($Q$3/1000)</f>
        <v>13.1628378140824</v>
      </c>
    </row>
    <row r="110" customFormat="false" ht="12.8" hidden="false" customHeight="false" outlineLevel="0" collapsed="false">
      <c r="I110" s="252" t="s">
        <v>43</v>
      </c>
      <c r="J110" s="253" t="n">
        <f aca="false">($J$22/$N69)*$I$105</f>
        <v>123.989341052449</v>
      </c>
      <c r="K110" s="253" t="n">
        <f aca="false">$J$19/$J$22</f>
        <v>0.436808902750213</v>
      </c>
      <c r="L110" s="253" t="n">
        <f aca="false">K110*$J110</f>
        <v>54.1596480178421</v>
      </c>
      <c r="M110" s="254" t="n">
        <f aca="false">L110*($O$3/1000)</f>
        <v>57.8662044817948</v>
      </c>
    </row>
    <row r="111" customFormat="false" ht="12.8" hidden="false" customHeight="false" outlineLevel="0" collapsed="false">
      <c r="I111" s="252" t="s">
        <v>44</v>
      </c>
      <c r="J111" s="253"/>
      <c r="K111" s="253" t="n">
        <f aca="false">$J$20/$J$22</f>
        <v>0.436808902750213</v>
      </c>
      <c r="L111" s="253" t="n">
        <f aca="false">K111*$J110</f>
        <v>54.1596480178421</v>
      </c>
      <c r="M111" s="254" t="n">
        <f aca="false">L111*($P$3/1000)</f>
        <v>48.3685754253971</v>
      </c>
    </row>
    <row r="112" customFormat="false" ht="12.8" hidden="false" customHeight="false" outlineLevel="0" collapsed="false">
      <c r="I112" s="252" t="s">
        <v>100</v>
      </c>
      <c r="J112" s="253"/>
      <c r="K112" s="253" t="n">
        <f aca="false">$J$21/$J$22</f>
        <v>0.126382194499575</v>
      </c>
      <c r="L112" s="253" t="n">
        <f aca="false">K112*$J110</f>
        <v>15.6700450167647</v>
      </c>
      <c r="M112" s="254" t="n">
        <f aca="false">L112*($Q$3/1000)</f>
        <v>19.7442567211235</v>
      </c>
    </row>
    <row r="113" customFormat="false" ht="12.8" hidden="false" customHeight="false" outlineLevel="0" collapsed="false">
      <c r="I113" s="179" t="s">
        <v>43</v>
      </c>
      <c r="J113" s="180" t="n">
        <f aca="false">($J$26/$N70)*$I$105</f>
        <v>56.9840263066015</v>
      </c>
      <c r="K113" s="104" t="n">
        <f aca="false">$J$23/$J$26</f>
        <v>0.584566495921078</v>
      </c>
      <c r="L113" s="104" t="n">
        <f aca="false">K113*$J113</f>
        <v>33.3109525815245</v>
      </c>
      <c r="M113" s="181" t="n">
        <f aca="false">L113*($O$3/1000)</f>
        <v>35.5906743140364</v>
      </c>
    </row>
    <row r="114" customFormat="false" ht="12.8" hidden="false" customHeight="false" outlineLevel="0" collapsed="false">
      <c r="I114" s="179" t="s">
        <v>44</v>
      </c>
      <c r="J114" s="180"/>
      <c r="K114" s="104" t="n">
        <f aca="false">$J$24/$J$26</f>
        <v>0.584566495921078</v>
      </c>
      <c r="L114" s="104" t="n">
        <f aca="false">K114*$J113</f>
        <v>33.3109525815245</v>
      </c>
      <c r="M114" s="181" t="n">
        <f aca="false">L114*($P$3/1000)</f>
        <v>29.7491468537703</v>
      </c>
    </row>
    <row r="115" customFormat="false" ht="12.8" hidden="false" customHeight="false" outlineLevel="0" collapsed="false">
      <c r="I115" s="179" t="s">
        <v>100</v>
      </c>
      <c r="J115" s="180"/>
      <c r="K115" s="104" t="n">
        <f aca="false">$J$25/$J$26</f>
        <v>-0.169132991842155</v>
      </c>
      <c r="L115" s="104" t="n">
        <f aca="false">K115*$J113</f>
        <v>-9.63787885644759</v>
      </c>
      <c r="M115" s="181" t="n">
        <f aca="false">L115*($Q$3/1000)</f>
        <v>-12.143727359124</v>
      </c>
    </row>
    <row r="116" customFormat="false" ht="12.8" hidden="false" customHeight="false" outlineLevel="0" collapsed="false">
      <c r="I116" s="255" t="s">
        <v>43</v>
      </c>
      <c r="J116" s="256" t="n">
        <f aca="false">($J$26/$N71)*$I$105</f>
        <v>85.4760394599022</v>
      </c>
      <c r="K116" s="256" t="n">
        <f aca="false">$J$23/$J$26</f>
        <v>0.584566495921078</v>
      </c>
      <c r="L116" s="256" t="n">
        <f aca="false">K116*$J116</f>
        <v>49.9664288722868</v>
      </c>
      <c r="M116" s="257" t="n">
        <f aca="false">L116*($O$3/1000)</f>
        <v>53.3860114710547</v>
      </c>
    </row>
    <row r="117" customFormat="false" ht="12.8" hidden="false" customHeight="false" outlineLevel="0" collapsed="false">
      <c r="I117" s="255" t="s">
        <v>44</v>
      </c>
      <c r="J117" s="256"/>
      <c r="K117" s="256" t="n">
        <f aca="false">$J$24/$J$26</f>
        <v>0.584566495921078</v>
      </c>
      <c r="L117" s="256" t="n">
        <f aca="false">K117*$J116</f>
        <v>49.9664288722868</v>
      </c>
      <c r="M117" s="257" t="n">
        <f aca="false">L117*($P$3/1000)</f>
        <v>44.6237202806554</v>
      </c>
    </row>
    <row r="118" customFormat="false" ht="12.8" hidden="false" customHeight="false" outlineLevel="0" collapsed="false">
      <c r="I118" s="255" t="s">
        <v>100</v>
      </c>
      <c r="J118" s="256"/>
      <c r="K118" s="256" t="n">
        <f aca="false">$J$25/$J$26</f>
        <v>-0.169132991842155</v>
      </c>
      <c r="L118" s="256" t="n">
        <f aca="false">K118*$J116</f>
        <v>-14.4568182846714</v>
      </c>
      <c r="M118" s="257" t="n">
        <f aca="false">L118*($Q$3/1000)</f>
        <v>-18.2155910386859</v>
      </c>
    </row>
    <row r="119" customFormat="false" ht="12.8" hidden="false" customHeight="false" outlineLevel="0" collapsed="false">
      <c r="I119" s="182" t="s">
        <v>43</v>
      </c>
      <c r="J119" s="183" t="n">
        <f aca="false">($J$30/$N72)*$I$105</f>
        <v>203.342554684148</v>
      </c>
      <c r="K119" s="183" t="n">
        <f aca="false">$J$27/$J$30</f>
        <v>0.283803384367446</v>
      </c>
      <c r="L119" s="183" t="n">
        <f aca="false">K119*$J119</f>
        <v>57.7093052052835</v>
      </c>
      <c r="M119" s="184" t="n">
        <f aca="false">L119*($O$3/1000)</f>
        <v>61.6587916969312</v>
      </c>
    </row>
    <row r="120" customFormat="false" ht="12.8" hidden="false" customHeight="false" outlineLevel="0" collapsed="false">
      <c r="I120" s="182" t="s">
        <v>44</v>
      </c>
      <c r="J120" s="183"/>
      <c r="K120" s="183" t="n">
        <f aca="false">$J$28/$J$30</f>
        <v>0.432393231265109</v>
      </c>
      <c r="L120" s="183" t="n">
        <f aca="false">K120*$J119</f>
        <v>87.9239442735807</v>
      </c>
      <c r="M120" s="184" t="n">
        <f aca="false">L120*($P$3/1000)</f>
        <v>78.5225917438401</v>
      </c>
    </row>
    <row r="121" customFormat="false" ht="12.8" hidden="false" customHeight="false" outlineLevel="0" collapsed="false">
      <c r="I121" s="182" t="s">
        <v>100</v>
      </c>
      <c r="J121" s="183"/>
      <c r="K121" s="183" t="n">
        <f aca="false">$J$29/$J$30</f>
        <v>0.283803384367446</v>
      </c>
      <c r="L121" s="183" t="n">
        <f aca="false">K121*$J119</f>
        <v>57.7093052052835</v>
      </c>
      <c r="M121" s="184" t="n">
        <f aca="false">L121*($Q$3/1000)</f>
        <v>72.7137245586572</v>
      </c>
    </row>
    <row r="122" customFormat="false" ht="12.8" hidden="false" customHeight="false" outlineLevel="0" collapsed="false">
      <c r="I122" s="258" t="s">
        <v>43</v>
      </c>
      <c r="J122" s="259" t="n">
        <f aca="false">($J$30/$N73)*$I$105</f>
        <v>305.013832026221</v>
      </c>
      <c r="K122" s="259" t="n">
        <f aca="false">$J$27/$J$30</f>
        <v>0.283803384367446</v>
      </c>
      <c r="L122" s="259" t="n">
        <f aca="false">K122*$J122</f>
        <v>86.5639578079252</v>
      </c>
      <c r="M122" s="260" t="n">
        <f aca="false">L122*($O$3/1000)</f>
        <v>92.4881875453968</v>
      </c>
    </row>
    <row r="123" customFormat="false" ht="12.8" hidden="false" customHeight="false" outlineLevel="0" collapsed="false">
      <c r="I123" s="258" t="s">
        <v>44</v>
      </c>
      <c r="J123" s="259"/>
      <c r="K123" s="259" t="n">
        <f aca="false">$J$28/$J$30</f>
        <v>0.432393231265109</v>
      </c>
      <c r="L123" s="259" t="n">
        <f aca="false">K123*$J122</f>
        <v>131.885916410371</v>
      </c>
      <c r="M123" s="260" t="n">
        <f aca="false">L123*($P$3/1000)</f>
        <v>117.78388761576</v>
      </c>
    </row>
    <row r="124" customFormat="false" ht="12.8" hidden="false" customHeight="false" outlineLevel="0" collapsed="false">
      <c r="I124" s="258" t="s">
        <v>100</v>
      </c>
      <c r="J124" s="259"/>
      <c r="K124" s="259" t="n">
        <f aca="false">$J$29/$J$30</f>
        <v>0.283803384367446</v>
      </c>
      <c r="L124" s="259" t="n">
        <f aca="false">K124*$J122</f>
        <v>86.5639578079252</v>
      </c>
      <c r="M124" s="260" t="n">
        <f aca="false">L124*($Q$3/1000)</f>
        <v>109.070586837986</v>
      </c>
    </row>
    <row r="125" customFormat="false" ht="12.8" hidden="false" customHeight="false" outlineLevel="0" collapsed="false">
      <c r="I125" s="175" t="s">
        <v>43</v>
      </c>
      <c r="J125" s="176" t="n">
        <f aca="false">($J$34/$N74)*$I$105</f>
        <v>-62.3863048318146</v>
      </c>
      <c r="K125" s="92" t="n">
        <f aca="false">$J$31/$J$34</f>
        <v>2.09892729439809</v>
      </c>
      <c r="L125" s="92" t="n">
        <f aca="false">K125*$J125</f>
        <v>-130.944318008135</v>
      </c>
      <c r="M125" s="177" t="n">
        <f aca="false">L125*($O$3/1000)</f>
        <v>-139.905833196916</v>
      </c>
    </row>
    <row r="126" customFormat="false" ht="12.8" hidden="false" customHeight="false" outlineLevel="0" collapsed="false">
      <c r="I126" s="175" t="s">
        <v>44</v>
      </c>
      <c r="J126" s="176"/>
      <c r="K126" s="92" t="n">
        <f aca="false">$J$32/$J$34</f>
        <v>-3.19785458879618</v>
      </c>
      <c r="L126" s="92" t="n">
        <f aca="false">K126*$J125</f>
        <v>199.502331184456</v>
      </c>
      <c r="M126" s="177" t="n">
        <f aca="false">L126*($P$3/1000)</f>
        <v>178.170352035134</v>
      </c>
    </row>
    <row r="127" customFormat="false" ht="12.8" hidden="false" customHeight="false" outlineLevel="0" collapsed="false">
      <c r="I127" s="175" t="s">
        <v>100</v>
      </c>
      <c r="J127" s="176"/>
      <c r="K127" s="92" t="n">
        <f aca="false">$J$33/$J$34</f>
        <v>2.09892729439809</v>
      </c>
      <c r="L127" s="92" t="n">
        <f aca="false">K127*$J125</f>
        <v>-130.944318008135</v>
      </c>
      <c r="M127" s="177" t="n">
        <f aca="false">L127*($Q$3/1000)</f>
        <v>-164.98984069025</v>
      </c>
    </row>
    <row r="128" customFormat="false" ht="12.8" hidden="false" customHeight="false" outlineLevel="0" collapsed="false">
      <c r="I128" s="261" t="s">
        <v>43</v>
      </c>
      <c r="J128" s="262" t="n">
        <f aca="false">($J$34/$N75)*$I$105</f>
        <v>-93.579457247722</v>
      </c>
      <c r="K128" s="262" t="n">
        <f aca="false">$J$31/$J$34</f>
        <v>2.09892729439809</v>
      </c>
      <c r="L128" s="262" t="n">
        <f aca="false">K128*$J128</f>
        <v>-196.416477012203</v>
      </c>
      <c r="M128" s="263" t="n">
        <f aca="false">L128*($O$3/1000)</f>
        <v>-209.858749795374</v>
      </c>
    </row>
    <row r="129" customFormat="false" ht="12.8" hidden="false" customHeight="false" outlineLevel="0" collapsed="false">
      <c r="I129" s="261" t="s">
        <v>44</v>
      </c>
      <c r="J129" s="262"/>
      <c r="K129" s="262" t="n">
        <f aca="false">$J$32/$J$34</f>
        <v>-3.19785458879618</v>
      </c>
      <c r="L129" s="262" t="n">
        <f aca="false">K129*$J128</f>
        <v>299.253496776684</v>
      </c>
      <c r="M129" s="263" t="n">
        <f aca="false">L129*($P$3/1000)</f>
        <v>267.255528052702</v>
      </c>
    </row>
    <row r="130" customFormat="false" ht="12.8" hidden="false" customHeight="false" outlineLevel="0" collapsed="false">
      <c r="I130" s="261" t="s">
        <v>100</v>
      </c>
      <c r="J130" s="262"/>
      <c r="K130" s="262" t="n">
        <f aca="false">$J$33/$J$34</f>
        <v>2.09892729439809</v>
      </c>
      <c r="L130" s="262" t="n">
        <f aca="false">K130*$J128</f>
        <v>-196.416477012203</v>
      </c>
      <c r="M130" s="263" t="n">
        <f aca="false">L130*($Q$3/1000)</f>
        <v>-247.484761035376</v>
      </c>
    </row>
    <row r="131" customFormat="false" ht="12.8" hidden="false" customHeight="false" outlineLevel="0" collapsed="false">
      <c r="I131" s="178" t="s">
        <v>43</v>
      </c>
      <c r="J131" s="125" t="n">
        <f aca="false">($J$38/$N76)*$I$105</f>
        <v>109.409825873323</v>
      </c>
      <c r="K131" s="125" t="n">
        <f aca="false">$J$35/$J$38</f>
        <v>0.524624649025397</v>
      </c>
      <c r="L131" s="125" t="n">
        <f aca="false">K131*$J131</f>
        <v>57.3990914987219</v>
      </c>
      <c r="M131" s="126" t="n">
        <f aca="false">L131*($O$3/1000)</f>
        <v>61.327347708022</v>
      </c>
    </row>
    <row r="132" customFormat="false" ht="12.8" hidden="false" customHeight="false" outlineLevel="0" collapsed="false">
      <c r="I132" s="178" t="s">
        <v>44</v>
      </c>
      <c r="J132" s="125"/>
      <c r="K132" s="125" t="n">
        <f aca="false">$J$36/$J$38</f>
        <v>0.237687675487302</v>
      </c>
      <c r="L132" s="125" t="n">
        <f aca="false">K132*$J131</f>
        <v>26.0053671873006</v>
      </c>
      <c r="M132" s="126" t="n">
        <f aca="false">L132*($P$3/1000)</f>
        <v>23.224718222868</v>
      </c>
    </row>
    <row r="133" customFormat="false" ht="12.8" hidden="false" customHeight="false" outlineLevel="0" collapsed="false">
      <c r="I133" s="178" t="s">
        <v>100</v>
      </c>
      <c r="J133" s="125"/>
      <c r="K133" s="125" t="n">
        <f aca="false">$J$37/$J$38</f>
        <v>0.237687675487302</v>
      </c>
      <c r="L133" s="125" t="n">
        <f aca="false">K133*$J131</f>
        <v>26.0053671873006</v>
      </c>
      <c r="M133" s="126" t="n">
        <f aca="false">L133*($Q$3/1000)</f>
        <v>32.7667626559988</v>
      </c>
    </row>
    <row r="134" customFormat="false" ht="12.8" hidden="false" customHeight="false" outlineLevel="0" collapsed="false">
      <c r="I134" s="264" t="s">
        <v>43</v>
      </c>
      <c r="J134" s="265" t="n">
        <f aca="false">($J$38/$N77)*$I$105</f>
        <v>164.114738809985</v>
      </c>
      <c r="K134" s="265" t="n">
        <f aca="false">$J$35/$J$38</f>
        <v>0.524624649025397</v>
      </c>
      <c r="L134" s="265" t="n">
        <f aca="false">K134*$J134</f>
        <v>86.0986372480829</v>
      </c>
      <c r="M134" s="266" t="n">
        <f aca="false">L134*($O$3/1000)</f>
        <v>91.9910215620331</v>
      </c>
    </row>
    <row r="135" customFormat="false" ht="12.8" hidden="false" customHeight="false" outlineLevel="0" collapsed="false">
      <c r="I135" s="264" t="s">
        <v>44</v>
      </c>
      <c r="J135" s="265"/>
      <c r="K135" s="265" t="n">
        <f aca="false">$J$36/$J$38</f>
        <v>0.237687675487302</v>
      </c>
      <c r="L135" s="265" t="n">
        <f aca="false">K135*$J134</f>
        <v>39.0080507809509</v>
      </c>
      <c r="M135" s="266" t="n">
        <f aca="false">L135*($P$3/1000)</f>
        <v>34.837077334302</v>
      </c>
    </row>
    <row r="136" customFormat="false" ht="12.8" hidden="false" customHeight="false" outlineLevel="0" collapsed="false">
      <c r="I136" s="264" t="s">
        <v>100</v>
      </c>
      <c r="J136" s="265"/>
      <c r="K136" s="265" t="n">
        <f aca="false">$J$37/$J$38</f>
        <v>0.237687675487302</v>
      </c>
      <c r="L136" s="265" t="n">
        <f aca="false">K136*$J134</f>
        <v>39.0080507809509</v>
      </c>
      <c r="M136" s="266" t="n">
        <f aca="false">L136*($Q$3/1000)</f>
        <v>49.1501439839982</v>
      </c>
    </row>
    <row r="137" customFormat="false" ht="12.8" hidden="false" customHeight="false" outlineLevel="0" collapsed="false">
      <c r="I137" s="178" t="s">
        <v>43</v>
      </c>
      <c r="J137" s="125" t="n">
        <f aca="false">($J$42/$N79)*$I$105</f>
        <v>50.2541433730824</v>
      </c>
      <c r="K137" s="125" t="n">
        <f aca="false">$J$39/$J$42</f>
        <v>10.652428964253</v>
      </c>
      <c r="L137" s="125" t="n">
        <f aca="false">K137*$J137</f>
        <v>535.328692441145</v>
      </c>
      <c r="M137" s="126" t="n">
        <f aca="false">L137*($O$3/1000)</f>
        <v>571.965304714795</v>
      </c>
    </row>
    <row r="138" customFormat="false" ht="12.8" hidden="false" customHeight="false" outlineLevel="0" collapsed="false">
      <c r="I138" s="178" t="s">
        <v>44</v>
      </c>
      <c r="J138" s="125"/>
      <c r="K138" s="125" t="n">
        <f aca="false">$J$40/$J$42</f>
        <v>-4.82621448212649</v>
      </c>
      <c r="L138" s="125" t="n">
        <f aca="false">K138*$J137</f>
        <v>-242.537274534031</v>
      </c>
      <c r="M138" s="126" t="n">
        <f aca="false">L138*($P$3/1000)</f>
        <v>-216.60374256688</v>
      </c>
    </row>
    <row r="139" customFormat="false" ht="12.8" hidden="false" customHeight="false" outlineLevel="0" collapsed="false">
      <c r="I139" s="178" t="s">
        <v>100</v>
      </c>
      <c r="J139" s="125"/>
      <c r="K139" s="125" t="n">
        <f aca="false">$J$41/$J$42</f>
        <v>-4.82621448212649</v>
      </c>
      <c r="L139" s="125" t="n">
        <f aca="false">K139*$J137</f>
        <v>-242.537274534031</v>
      </c>
      <c r="M139" s="126" t="n">
        <f aca="false">L139*($Q$3/1000)</f>
        <v>-305.596965912879</v>
      </c>
    </row>
    <row r="140" customFormat="false" ht="12.8" hidden="false" customHeight="false" outlineLevel="0" collapsed="false">
      <c r="I140" s="267" t="s">
        <v>43</v>
      </c>
      <c r="J140" s="245" t="n">
        <f aca="false">($J$42/$N79)*$I$105</f>
        <v>50.2541433730824</v>
      </c>
      <c r="K140" s="268" t="n">
        <f aca="false">$J$39/$J$42</f>
        <v>10.652428964253</v>
      </c>
      <c r="L140" s="268" t="n">
        <f aca="false">K140*$J140</f>
        <v>535.328692441145</v>
      </c>
      <c r="M140" s="269" t="n">
        <f aca="false">L140*($O$3/1000)</f>
        <v>571.965304714795</v>
      </c>
    </row>
    <row r="141" customFormat="false" ht="12.8" hidden="false" customHeight="false" outlineLevel="0" collapsed="false">
      <c r="I141" s="267" t="s">
        <v>44</v>
      </c>
      <c r="J141" s="245"/>
      <c r="K141" s="268" t="n">
        <f aca="false">$J$40/$J$42</f>
        <v>-4.82621448212649</v>
      </c>
      <c r="L141" s="268" t="n">
        <f aca="false">K141*$J140</f>
        <v>-242.537274534031</v>
      </c>
      <c r="M141" s="269" t="n">
        <f aca="false">L141*($P$3/1000)</f>
        <v>-216.60374256688</v>
      </c>
    </row>
    <row r="142" customFormat="false" ht="12.8" hidden="false" customHeight="false" outlineLevel="0" collapsed="false">
      <c r="I142" s="270" t="s">
        <v>100</v>
      </c>
      <c r="J142" s="245"/>
      <c r="K142" s="245" t="n">
        <f aca="false">$J$41/$J$42</f>
        <v>-4.82621448212649</v>
      </c>
      <c r="L142" s="245" t="n">
        <f aca="false">K142*$J140</f>
        <v>-242.537274534031</v>
      </c>
      <c r="M142" s="246" t="n">
        <f aca="false">L142*($Q$3/1000)</f>
        <v>-305.596965912879</v>
      </c>
    </row>
    <row r="144" customFormat="false" ht="12.8" hidden="false" customHeight="false" outlineLevel="0" collapsed="false">
      <c r="I144" s="198" t="s">
        <v>97</v>
      </c>
      <c r="J144" s="198"/>
      <c r="K144" s="198"/>
      <c r="L144" s="198"/>
      <c r="M144" s="198"/>
    </row>
    <row r="145" customFormat="false" ht="12.8" hidden="false" customHeight="false" outlineLevel="0" collapsed="false">
      <c r="I145" s="198" t="s">
        <v>64</v>
      </c>
      <c r="J145" s="249"/>
      <c r="K145" s="249"/>
      <c r="L145" s="249"/>
      <c r="M145" s="249"/>
    </row>
    <row r="146" customFormat="false" ht="12.8" hidden="false" customHeight="false" outlineLevel="0" collapsed="false">
      <c r="I146" s="250" t="n">
        <v>500</v>
      </c>
      <c r="J146" s="249"/>
      <c r="K146" s="249"/>
      <c r="L146" s="249"/>
      <c r="M146" s="249"/>
    </row>
    <row r="147" customFormat="false" ht="12.8" hidden="false" customHeight="false" outlineLevel="0" collapsed="false">
      <c r="I147" s="209" t="s">
        <v>39</v>
      </c>
      <c r="J147" s="198" t="s">
        <v>64</v>
      </c>
      <c r="K147" s="198" t="s">
        <v>94</v>
      </c>
      <c r="L147" s="198" t="s">
        <v>95</v>
      </c>
      <c r="M147" s="210" t="s">
        <v>96</v>
      </c>
    </row>
    <row r="148" customFormat="false" ht="12.8" hidden="false" customHeight="false" outlineLevel="0" collapsed="false">
      <c r="I148" s="251" t="s">
        <v>43</v>
      </c>
      <c r="J148" s="217" t="n">
        <f aca="false">($J$22/$N88)*$I$146</f>
        <v>298.371087192647</v>
      </c>
      <c r="K148" s="217" t="n">
        <f aca="false">$J$19/$J$22</f>
        <v>0.436808902750213</v>
      </c>
      <c r="L148" s="217" t="n">
        <f aca="false">K148*$J148</f>
        <v>130.331147209008</v>
      </c>
      <c r="M148" s="218" t="n">
        <f aca="false">L148*($O$3/1000)</f>
        <v>139.250698458359</v>
      </c>
    </row>
    <row r="149" customFormat="false" ht="12.8" hidden="false" customHeight="false" outlineLevel="0" collapsed="false">
      <c r="I149" s="200" t="s">
        <v>44</v>
      </c>
      <c r="J149" s="217"/>
      <c r="K149" s="201" t="n">
        <f aca="false">$J$20/$J$22</f>
        <v>0.436808902750213</v>
      </c>
      <c r="L149" s="201" t="n">
        <f aca="false">K149*$J148</f>
        <v>130.331147209008</v>
      </c>
      <c r="M149" s="202" t="n">
        <f aca="false">L149*($P$3/1000)</f>
        <v>116.395363610574</v>
      </c>
    </row>
    <row r="150" customFormat="false" ht="12.8" hidden="false" customHeight="false" outlineLevel="0" collapsed="false">
      <c r="I150" s="200" t="s">
        <v>100</v>
      </c>
      <c r="J150" s="217"/>
      <c r="K150" s="201" t="n">
        <f aca="false">$J$21/$J$22</f>
        <v>0.126382194499575</v>
      </c>
      <c r="L150" s="201" t="n">
        <f aca="false">K150*$J148</f>
        <v>37.7087927746307</v>
      </c>
      <c r="M150" s="202" t="n">
        <f aca="false">L150*($Q$3/1000)</f>
        <v>47.5130788960347</v>
      </c>
    </row>
    <row r="151" customFormat="false" ht="12.8" hidden="false" customHeight="false" outlineLevel="0" collapsed="false">
      <c r="I151" s="252" t="s">
        <v>43</v>
      </c>
      <c r="J151" s="253" t="n">
        <f aca="false">($J$22/$N89)*$I$146</f>
        <v>198.914058128431</v>
      </c>
      <c r="K151" s="253" t="n">
        <f aca="false">$J$19/$J$22</f>
        <v>0.436808902750213</v>
      </c>
      <c r="L151" s="253" t="n">
        <f aca="false">K151*$J151</f>
        <v>86.8874314726721</v>
      </c>
      <c r="M151" s="254" t="n">
        <f aca="false">L151*($O$3/1000)</f>
        <v>92.833798972239</v>
      </c>
    </row>
    <row r="152" customFormat="false" ht="12.8" hidden="false" customHeight="false" outlineLevel="0" collapsed="false">
      <c r="I152" s="252" t="s">
        <v>44</v>
      </c>
      <c r="J152" s="253"/>
      <c r="K152" s="253" t="n">
        <f aca="false">$J$20/$J$22</f>
        <v>0.436808902750213</v>
      </c>
      <c r="L152" s="253" t="n">
        <f aca="false">K152*$J151</f>
        <v>86.8874314726721</v>
      </c>
      <c r="M152" s="254" t="n">
        <f aca="false">L152*($P$3/1000)</f>
        <v>77.5969090737161</v>
      </c>
    </row>
    <row r="153" customFormat="false" ht="12.8" hidden="false" customHeight="false" outlineLevel="0" collapsed="false">
      <c r="I153" s="252" t="s">
        <v>100</v>
      </c>
      <c r="J153" s="253"/>
      <c r="K153" s="253" t="n">
        <f aca="false">$J$21/$J$22</f>
        <v>0.126382194499575</v>
      </c>
      <c r="L153" s="253" t="n">
        <f aca="false">K153*$J151</f>
        <v>25.1391951830871</v>
      </c>
      <c r="M153" s="254" t="n">
        <f aca="false">L153*($Q$3/1000)</f>
        <v>31.6753859306898</v>
      </c>
    </row>
    <row r="154" customFormat="false" ht="12.8" hidden="false" customHeight="false" outlineLevel="0" collapsed="false">
      <c r="I154" s="179" t="s">
        <v>43</v>
      </c>
      <c r="J154" s="180" t="n">
        <f aca="false">($J$26/$N90)*$I$146</f>
        <v>324.76030687401</v>
      </c>
      <c r="K154" s="104" t="n">
        <f aca="false">$J$23/$J$26</f>
        <v>0.584566495921078</v>
      </c>
      <c r="L154" s="104" t="n">
        <f aca="false">K154*$J154</f>
        <v>189.843994603594</v>
      </c>
      <c r="M154" s="181" t="n">
        <f aca="false">L154*($O$3/1000)</f>
        <v>202.836462448081</v>
      </c>
    </row>
    <row r="155" customFormat="false" ht="12.8" hidden="false" customHeight="false" outlineLevel="0" collapsed="false">
      <c r="I155" s="179" t="s">
        <v>44</v>
      </c>
      <c r="J155" s="180"/>
      <c r="K155" s="104" t="n">
        <f aca="false">$J$24/$J$26</f>
        <v>0.584566495921078</v>
      </c>
      <c r="L155" s="104" t="n">
        <f aca="false">K155*$J154</f>
        <v>189.843994603594</v>
      </c>
      <c r="M155" s="181" t="n">
        <f aca="false">L155*($P$3/1000)</f>
        <v>169.54474240707</v>
      </c>
    </row>
    <row r="156" customFormat="false" ht="12.8" hidden="false" customHeight="false" outlineLevel="0" collapsed="false">
      <c r="I156" s="179" t="s">
        <v>100</v>
      </c>
      <c r="J156" s="180"/>
      <c r="K156" s="104" t="n">
        <f aca="false">$J$25/$J$26</f>
        <v>-0.169132991842155</v>
      </c>
      <c r="L156" s="104" t="n">
        <f aca="false">K156*$J154</f>
        <v>-54.9276823331778</v>
      </c>
      <c r="M156" s="181" t="n">
        <f aca="false">L156*($Q$3/1000)</f>
        <v>-69.208879739804</v>
      </c>
    </row>
    <row r="157" customFormat="false" ht="12.8" hidden="false" customHeight="false" outlineLevel="0" collapsed="false">
      <c r="I157" s="255" t="s">
        <v>43</v>
      </c>
      <c r="J157" s="256" t="n">
        <f aca="false">($J$26/$N91)*$I$146</f>
        <v>216.50687124934</v>
      </c>
      <c r="K157" s="256" t="n">
        <f aca="false">$J$23/$J$26</f>
        <v>0.584566495921078</v>
      </c>
      <c r="L157" s="256" t="n">
        <f aca="false">K157*$J157</f>
        <v>126.562663069063</v>
      </c>
      <c r="M157" s="257" t="n">
        <f aca="false">L157*($O$3/1000)</f>
        <v>135.22430829872</v>
      </c>
    </row>
    <row r="158" customFormat="false" ht="12.8" hidden="false" customHeight="false" outlineLevel="0" collapsed="false">
      <c r="I158" s="255" t="s">
        <v>44</v>
      </c>
      <c r="J158" s="256"/>
      <c r="K158" s="256" t="n">
        <f aca="false">$J$24/$J$26</f>
        <v>0.584566495921078</v>
      </c>
      <c r="L158" s="256" t="n">
        <f aca="false">K158*$J157</f>
        <v>126.562663069063</v>
      </c>
      <c r="M158" s="257" t="n">
        <f aca="false">L158*($P$3/1000)</f>
        <v>113.02982827138</v>
      </c>
    </row>
    <row r="159" customFormat="false" ht="12.8" hidden="false" customHeight="false" outlineLevel="0" collapsed="false">
      <c r="I159" s="255" t="s">
        <v>100</v>
      </c>
      <c r="J159" s="256"/>
      <c r="K159" s="256" t="n">
        <f aca="false">$J$25/$J$26</f>
        <v>-0.169132991842155</v>
      </c>
      <c r="L159" s="256" t="n">
        <f aca="false">K159*$J157</f>
        <v>-36.6184548887852</v>
      </c>
      <c r="M159" s="257" t="n">
        <f aca="false">L159*($Q$3/1000)</f>
        <v>-46.1392531598693</v>
      </c>
    </row>
    <row r="160" customFormat="false" ht="12.8" hidden="false" customHeight="false" outlineLevel="0" collapsed="false">
      <c r="I160" s="182" t="s">
        <v>43</v>
      </c>
      <c r="J160" s="183" t="n">
        <f aca="false">($J$30/$N92)*$I$146</f>
        <v>288.729505513165</v>
      </c>
      <c r="K160" s="183" t="n">
        <f aca="false">$J$27/$J$30</f>
        <v>0.283803384367446</v>
      </c>
      <c r="L160" s="183" t="n">
        <f aca="false">K160*$J160</f>
        <v>81.9424108313752</v>
      </c>
      <c r="M160" s="184" t="n">
        <f aca="false">L160*($O$3/1000)</f>
        <v>87.5503529738138</v>
      </c>
    </row>
    <row r="161" customFormat="false" ht="12.8" hidden="false" customHeight="false" outlineLevel="0" collapsed="false">
      <c r="I161" s="182" t="s">
        <v>44</v>
      </c>
      <c r="J161" s="183"/>
      <c r="K161" s="183" t="n">
        <f aca="false">$J$28/$J$30</f>
        <v>0.432393231265109</v>
      </c>
      <c r="L161" s="183" t="n">
        <f aca="false">K161*$J160</f>
        <v>124.844683850414</v>
      </c>
      <c r="M161" s="184" t="n">
        <f aca="false">L161*($P$3/1000)</f>
        <v>111.495545637396</v>
      </c>
    </row>
    <row r="162" customFormat="false" ht="12.8" hidden="false" customHeight="false" outlineLevel="0" collapsed="false">
      <c r="I162" s="182" t="s">
        <v>100</v>
      </c>
      <c r="J162" s="183"/>
      <c r="K162" s="183" t="n">
        <f aca="false">$J$29/$J$30</f>
        <v>0.283803384367446</v>
      </c>
      <c r="L162" s="183" t="n">
        <f aca="false">K162*$J160</f>
        <v>81.9424108313752</v>
      </c>
      <c r="M162" s="184" t="n">
        <f aca="false">L162*($Q$3/1000)</f>
        <v>103.247437647533</v>
      </c>
    </row>
    <row r="163" customFormat="false" ht="12.8" hidden="false" customHeight="false" outlineLevel="0" collapsed="false">
      <c r="I163" s="258" t="s">
        <v>43</v>
      </c>
      <c r="J163" s="259" t="n">
        <f aca="false">($J$30/$N93)*$I$146</f>
        <v>192.486337008777</v>
      </c>
      <c r="K163" s="259" t="n">
        <f aca="false">$J$27/$J$30</f>
        <v>0.283803384367446</v>
      </c>
      <c r="L163" s="259" t="n">
        <f aca="false">K163*$J163</f>
        <v>54.6282738875835</v>
      </c>
      <c r="M163" s="260" t="n">
        <f aca="false">L163*($O$3/1000)</f>
        <v>58.3669019825425</v>
      </c>
    </row>
    <row r="164" customFormat="false" ht="12.8" hidden="false" customHeight="false" outlineLevel="0" collapsed="false">
      <c r="I164" s="258" t="s">
        <v>44</v>
      </c>
      <c r="J164" s="259"/>
      <c r="K164" s="259" t="n">
        <f aca="false">$J$28/$J$30</f>
        <v>0.432393231265109</v>
      </c>
      <c r="L164" s="259" t="n">
        <f aca="false">K164*$J163</f>
        <v>83.2297892336096</v>
      </c>
      <c r="M164" s="260" t="n">
        <f aca="false">L164*($P$3/1000)</f>
        <v>74.330363758264</v>
      </c>
    </row>
    <row r="165" customFormat="false" ht="12.8" hidden="false" customHeight="false" outlineLevel="0" collapsed="false">
      <c r="I165" s="258" t="s">
        <v>100</v>
      </c>
      <c r="J165" s="259"/>
      <c r="K165" s="259" t="n">
        <f aca="false">$J$29/$J$30</f>
        <v>0.283803384367446</v>
      </c>
      <c r="L165" s="259" t="n">
        <f aca="false">K165*$J163</f>
        <v>54.6282738875835</v>
      </c>
      <c r="M165" s="260" t="n">
        <f aca="false">L165*($Q$3/1000)</f>
        <v>68.8316250983552</v>
      </c>
    </row>
    <row r="166" customFormat="false" ht="12.8" hidden="false" customHeight="false" outlineLevel="0" collapsed="false">
      <c r="I166" s="175" t="s">
        <v>43</v>
      </c>
      <c r="J166" s="176" t="n">
        <f aca="false">($J$34/$N94)*$I$146</f>
        <v>144.519072170536</v>
      </c>
      <c r="K166" s="92" t="n">
        <f aca="false">$J$31/$J$34</f>
        <v>2.09892729439809</v>
      </c>
      <c r="L166" s="92" t="n">
        <f aca="false">K166*$J166</f>
        <v>303.335025139825</v>
      </c>
      <c r="M166" s="177" t="n">
        <f aca="false">L166*($O$3/1000)</f>
        <v>324.094547022332</v>
      </c>
    </row>
    <row r="167" customFormat="false" ht="12.8" hidden="false" customHeight="false" outlineLevel="0" collapsed="false">
      <c r="I167" s="175" t="s">
        <v>44</v>
      </c>
      <c r="J167" s="176"/>
      <c r="K167" s="92" t="n">
        <f aca="false">$J$32/$J$34</f>
        <v>-3.19785458879618</v>
      </c>
      <c r="L167" s="92" t="n">
        <f aca="false">K167*$J166</f>
        <v>-462.150978109114</v>
      </c>
      <c r="M167" s="177" t="n">
        <f aca="false">L167*($P$3/1000)</f>
        <v>-412.735039105639</v>
      </c>
    </row>
    <row r="168" customFormat="false" ht="12.8" hidden="false" customHeight="false" outlineLevel="0" collapsed="false">
      <c r="I168" s="175" t="s">
        <v>100</v>
      </c>
      <c r="J168" s="176"/>
      <c r="K168" s="92" t="n">
        <f aca="false">$J$33/$J$34</f>
        <v>2.09892729439809</v>
      </c>
      <c r="L168" s="92" t="n">
        <f aca="false">K168*$J166</f>
        <v>303.335025139825</v>
      </c>
      <c r="M168" s="177" t="n">
        <f aca="false">L168*($Q$3/1000)</f>
        <v>382.202131676179</v>
      </c>
    </row>
    <row r="169" customFormat="false" ht="12.8" hidden="false" customHeight="false" outlineLevel="0" collapsed="false">
      <c r="I169" s="261" t="s">
        <v>43</v>
      </c>
      <c r="J169" s="262" t="n">
        <f aca="false">($J$34/$N95)*$I$146</f>
        <v>96.3460481136905</v>
      </c>
      <c r="K169" s="262" t="n">
        <f aca="false">$J$31/$J$34</f>
        <v>2.09892729439809</v>
      </c>
      <c r="L169" s="262" t="n">
        <f aca="false">K169*$J169</f>
        <v>202.223350093217</v>
      </c>
      <c r="M169" s="263" t="n">
        <f aca="false">L169*($O$3/1000)</f>
        <v>216.063031348221</v>
      </c>
    </row>
    <row r="170" customFormat="false" ht="12.8" hidden="false" customHeight="false" outlineLevel="0" collapsed="false">
      <c r="I170" s="261" t="s">
        <v>44</v>
      </c>
      <c r="J170" s="262"/>
      <c r="K170" s="262" t="n">
        <f aca="false">$J$32/$J$34</f>
        <v>-3.19785458879618</v>
      </c>
      <c r="L170" s="262" t="n">
        <f aca="false">K170*$J169</f>
        <v>-308.100652072743</v>
      </c>
      <c r="M170" s="263" t="n">
        <f aca="false">L170*($P$3/1000)</f>
        <v>-275.156692737093</v>
      </c>
    </row>
    <row r="171" customFormat="false" ht="12.8" hidden="false" customHeight="false" outlineLevel="0" collapsed="false">
      <c r="I171" s="261" t="s">
        <v>100</v>
      </c>
      <c r="J171" s="262"/>
      <c r="K171" s="262" t="n">
        <f aca="false">$J$33/$J$34</f>
        <v>2.09892729439809</v>
      </c>
      <c r="L171" s="262" t="n">
        <f aca="false">K171*$J169</f>
        <v>202.223350093217</v>
      </c>
      <c r="M171" s="263" t="n">
        <f aca="false">L171*($Q$3/1000)</f>
        <v>254.801421117453</v>
      </c>
    </row>
    <row r="172" customFormat="false" ht="12.8" hidden="false" customHeight="false" outlineLevel="0" collapsed="false">
      <c r="I172" s="178" t="s">
        <v>43</v>
      </c>
      <c r="J172" s="125" t="n">
        <f aca="false">($J$38/$N96)*$I$146</f>
        <v>284.394817732142</v>
      </c>
      <c r="K172" s="125" t="n">
        <f aca="false">$J$35/$J$38</f>
        <v>0.524624649025397</v>
      </c>
      <c r="L172" s="125" t="n">
        <f aca="false">K172*$J172</f>
        <v>149.200531437367</v>
      </c>
      <c r="M172" s="126" t="n">
        <f aca="false">L172*($O$3/1000)</f>
        <v>159.411458104434</v>
      </c>
    </row>
    <row r="173" customFormat="false" ht="12.8" hidden="false" customHeight="false" outlineLevel="0" collapsed="false">
      <c r="I173" s="178" t="s">
        <v>44</v>
      </c>
      <c r="J173" s="125"/>
      <c r="K173" s="125" t="n">
        <f aca="false">$J$36/$J$38</f>
        <v>0.237687675487302</v>
      </c>
      <c r="L173" s="125" t="n">
        <f aca="false">K173*$J172</f>
        <v>67.5971431473877</v>
      </c>
      <c r="M173" s="126" t="n">
        <f aca="false">L173*($P$3/1000)</f>
        <v>60.369253429946</v>
      </c>
    </row>
    <row r="174" customFormat="false" ht="12.8" hidden="false" customHeight="false" outlineLevel="0" collapsed="false">
      <c r="I174" s="178" t="s">
        <v>100</v>
      </c>
      <c r="J174" s="125"/>
      <c r="K174" s="125" t="n">
        <f aca="false">$J$37/$J$38</f>
        <v>0.237687675487302</v>
      </c>
      <c r="L174" s="125" t="n">
        <f aca="false">K174*$J172</f>
        <v>67.5971431473877</v>
      </c>
      <c r="M174" s="126" t="n">
        <f aca="false">L174*($Q$3/1000)</f>
        <v>85.1724003657085</v>
      </c>
    </row>
    <row r="175" customFormat="false" ht="12.8" hidden="false" customHeight="false" outlineLevel="0" collapsed="false">
      <c r="I175" s="264" t="s">
        <v>43</v>
      </c>
      <c r="J175" s="265" t="n">
        <f aca="false">($J$38/$N97)*$I$146</f>
        <v>189.596545154761</v>
      </c>
      <c r="K175" s="265" t="n">
        <f aca="false">$J$35/$J$38</f>
        <v>0.524624649025397</v>
      </c>
      <c r="L175" s="265" t="n">
        <f aca="false">K175*$J175</f>
        <v>99.4670209582444</v>
      </c>
      <c r="M175" s="266" t="n">
        <f aca="false">L175*($O$3/1000)</f>
        <v>106.274305402956</v>
      </c>
    </row>
    <row r="176" customFormat="false" ht="12.8" hidden="false" customHeight="false" outlineLevel="0" collapsed="false">
      <c r="I176" s="264" t="s">
        <v>44</v>
      </c>
      <c r="J176" s="265"/>
      <c r="K176" s="265" t="n">
        <f aca="false">$J$36/$J$38</f>
        <v>0.237687675487302</v>
      </c>
      <c r="L176" s="265" t="n">
        <f aca="false">K176*$J175</f>
        <v>45.0647620982585</v>
      </c>
      <c r="M176" s="266" t="n">
        <f aca="false">L176*($P$3/1000)</f>
        <v>40.2461689532973</v>
      </c>
    </row>
    <row r="177" customFormat="false" ht="12.8" hidden="false" customHeight="false" outlineLevel="0" collapsed="false">
      <c r="I177" s="264" t="s">
        <v>100</v>
      </c>
      <c r="J177" s="265"/>
      <c r="K177" s="265" t="n">
        <f aca="false">$J$37/$J$38</f>
        <v>0.237687675487302</v>
      </c>
      <c r="L177" s="265" t="n">
        <f aca="false">K177*$J175</f>
        <v>45.0647620982585</v>
      </c>
      <c r="M177" s="266" t="n">
        <f aca="false">L177*($Q$3/1000)</f>
        <v>56.7816002438057</v>
      </c>
    </row>
    <row r="178" customFormat="false" ht="12.8" hidden="false" customHeight="false" outlineLevel="0" collapsed="false">
      <c r="I178" s="178" t="s">
        <v>43</v>
      </c>
      <c r="J178" s="125" t="n">
        <f aca="false">($J$42/$N98)*$I$146</f>
        <v>342.485208193797</v>
      </c>
      <c r="K178" s="125" t="n">
        <f aca="false">$J$39/$J$42</f>
        <v>10.652428964253</v>
      </c>
      <c r="L178" s="125" t="n">
        <f aca="false">K178*$J178</f>
        <v>3648.29935159182</v>
      </c>
      <c r="M178" s="126" t="n">
        <f aca="false">L178*($O$3/1000)</f>
        <v>3897.98021250919</v>
      </c>
    </row>
    <row r="179" customFormat="false" ht="12.8" hidden="false" customHeight="false" outlineLevel="0" collapsed="false">
      <c r="I179" s="178" t="s">
        <v>44</v>
      </c>
      <c r="J179" s="125"/>
      <c r="K179" s="125" t="n">
        <f aca="false">$J$40/$J$42</f>
        <v>-4.82621448212649</v>
      </c>
      <c r="L179" s="125" t="n">
        <f aca="false">K179*$J178</f>
        <v>-1652.90707169901</v>
      </c>
      <c r="M179" s="126" t="n">
        <f aca="false">L179*($P$3/1000)</f>
        <v>-1476.16838909861</v>
      </c>
    </row>
    <row r="180" customFormat="false" ht="12.8" hidden="false" customHeight="false" outlineLevel="0" collapsed="false">
      <c r="I180" s="178" t="s">
        <v>100</v>
      </c>
      <c r="J180" s="125"/>
      <c r="K180" s="125" t="n">
        <f aca="false">$J$41/$J$42</f>
        <v>-4.82621448212649</v>
      </c>
      <c r="L180" s="125" t="n">
        <f aca="false">K180*$J178</f>
        <v>-1652.90707169901</v>
      </c>
      <c r="M180" s="126" t="n">
        <f aca="false">L180*($Q$3/1000)</f>
        <v>-2082.66291034075</v>
      </c>
    </row>
    <row r="181" customFormat="false" ht="12.8" hidden="false" customHeight="false" outlineLevel="0" collapsed="false">
      <c r="I181" s="267" t="s">
        <v>43</v>
      </c>
      <c r="J181" s="245" t="n">
        <f aca="false">($J$42/$N99)*$I$146</f>
        <v>228.323472129198</v>
      </c>
      <c r="K181" s="268" t="n">
        <f aca="false">$J$39/$J$42</f>
        <v>10.652428964253</v>
      </c>
      <c r="L181" s="268" t="n">
        <f aca="false">K181*$J181</f>
        <v>2432.19956772788</v>
      </c>
      <c r="M181" s="269" t="n">
        <f aca="false">L181*($O$3/1000)</f>
        <v>2598.65347500613</v>
      </c>
    </row>
    <row r="182" customFormat="false" ht="12.8" hidden="false" customHeight="false" outlineLevel="0" collapsed="false">
      <c r="I182" s="267" t="s">
        <v>44</v>
      </c>
      <c r="J182" s="245"/>
      <c r="K182" s="268" t="n">
        <f aca="false">$J$40/$J$42</f>
        <v>-4.82621448212649</v>
      </c>
      <c r="L182" s="268" t="n">
        <f aca="false">K182*$J181</f>
        <v>-1101.93804779934</v>
      </c>
      <c r="M182" s="269" t="n">
        <f aca="false">L182*($P$3/1000)</f>
        <v>-984.112259399074</v>
      </c>
    </row>
    <row r="183" customFormat="false" ht="12.8" hidden="false" customHeight="false" outlineLevel="0" collapsed="false">
      <c r="I183" s="270" t="s">
        <v>100</v>
      </c>
      <c r="J183" s="245"/>
      <c r="K183" s="245" t="n">
        <f aca="false">$J$41/$J$42</f>
        <v>-4.82621448212649</v>
      </c>
      <c r="L183" s="245" t="n">
        <f aca="false">K183*$J181</f>
        <v>-1101.93804779934</v>
      </c>
      <c r="M183" s="246" t="n">
        <f aca="false">L183*($Q$3/1000)</f>
        <v>-1388.44194022717</v>
      </c>
    </row>
  </sheetData>
  <mergeCells count="117">
    <mergeCell ref="I10:O10"/>
    <mergeCell ref="I12:J12"/>
    <mergeCell ref="L18:M18"/>
    <mergeCell ref="N18:O18"/>
    <mergeCell ref="L19:M19"/>
    <mergeCell ref="N19:O19"/>
    <mergeCell ref="L20:M20"/>
    <mergeCell ref="N20:O20"/>
    <mergeCell ref="L21:M21"/>
    <mergeCell ref="N21:O21"/>
    <mergeCell ref="L22:M22"/>
    <mergeCell ref="N22:O22"/>
    <mergeCell ref="L23:M23"/>
    <mergeCell ref="N23:O23"/>
    <mergeCell ref="L24:M24"/>
    <mergeCell ref="N24:O24"/>
    <mergeCell ref="L25:M25"/>
    <mergeCell ref="N25:O25"/>
    <mergeCell ref="L26:M26"/>
    <mergeCell ref="N26:O26"/>
    <mergeCell ref="L27:M27"/>
    <mergeCell ref="N27:O27"/>
    <mergeCell ref="L28:M28"/>
    <mergeCell ref="N28:O28"/>
    <mergeCell ref="L29:M29"/>
    <mergeCell ref="N29:O29"/>
    <mergeCell ref="L30:M30"/>
    <mergeCell ref="N30:O30"/>
    <mergeCell ref="L31:M31"/>
    <mergeCell ref="N31:O31"/>
    <mergeCell ref="L32:M32"/>
    <mergeCell ref="N32:O32"/>
    <mergeCell ref="L33:M33"/>
    <mergeCell ref="N33:O33"/>
    <mergeCell ref="L34:M34"/>
    <mergeCell ref="N34:O34"/>
    <mergeCell ref="L35:M35"/>
    <mergeCell ref="N35:O35"/>
    <mergeCell ref="L36:M36"/>
    <mergeCell ref="N36:O36"/>
    <mergeCell ref="L37:M37"/>
    <mergeCell ref="N37:O37"/>
    <mergeCell ref="L38:M38"/>
    <mergeCell ref="N38:O38"/>
    <mergeCell ref="L39:M39"/>
    <mergeCell ref="N39:O39"/>
    <mergeCell ref="L40:M40"/>
    <mergeCell ref="N40:O40"/>
    <mergeCell ref="L41:M41"/>
    <mergeCell ref="N41:O41"/>
    <mergeCell ref="L42:M42"/>
    <mergeCell ref="N42:O42"/>
    <mergeCell ref="I45:P45"/>
    <mergeCell ref="K48:K50"/>
    <mergeCell ref="L48:L50"/>
    <mergeCell ref="M48:M50"/>
    <mergeCell ref="N48:N50"/>
    <mergeCell ref="O48:O50"/>
    <mergeCell ref="P48:P50"/>
    <mergeCell ref="K51:K53"/>
    <mergeCell ref="L51:L53"/>
    <mergeCell ref="M51:M53"/>
    <mergeCell ref="N51:N53"/>
    <mergeCell ref="O51:O53"/>
    <mergeCell ref="P51:P53"/>
    <mergeCell ref="K54:K56"/>
    <mergeCell ref="L54:L56"/>
    <mergeCell ref="M54:M56"/>
    <mergeCell ref="N54:N56"/>
    <mergeCell ref="O54:O56"/>
    <mergeCell ref="P54:P56"/>
    <mergeCell ref="K57:K59"/>
    <mergeCell ref="L57:L59"/>
    <mergeCell ref="M57:M59"/>
    <mergeCell ref="N57:N59"/>
    <mergeCell ref="O57:O59"/>
    <mergeCell ref="P57:P59"/>
    <mergeCell ref="K60:K62"/>
    <mergeCell ref="L60:L62"/>
    <mergeCell ref="M60:M62"/>
    <mergeCell ref="N60:N62"/>
    <mergeCell ref="O60:O62"/>
    <mergeCell ref="P60:P62"/>
    <mergeCell ref="K63:K65"/>
    <mergeCell ref="L63:L65"/>
    <mergeCell ref="M63:M65"/>
    <mergeCell ref="N63:N65"/>
    <mergeCell ref="O63:O65"/>
    <mergeCell ref="P63:P65"/>
    <mergeCell ref="I82:O82"/>
    <mergeCell ref="I101:M101"/>
    <mergeCell ref="I103:M103"/>
    <mergeCell ref="J107:J109"/>
    <mergeCell ref="J110:J112"/>
    <mergeCell ref="J113:J115"/>
    <mergeCell ref="J116:J118"/>
    <mergeCell ref="J119:J121"/>
    <mergeCell ref="J122:J124"/>
    <mergeCell ref="J125:J127"/>
    <mergeCell ref="J128:J130"/>
    <mergeCell ref="J131:J133"/>
    <mergeCell ref="J134:J136"/>
    <mergeCell ref="J137:J139"/>
    <mergeCell ref="J140:J142"/>
    <mergeCell ref="I144:M144"/>
    <mergeCell ref="J148:J150"/>
    <mergeCell ref="J151:J153"/>
    <mergeCell ref="J154:J156"/>
    <mergeCell ref="J157:J159"/>
    <mergeCell ref="J160:J162"/>
    <mergeCell ref="J163:J165"/>
    <mergeCell ref="J166:J168"/>
    <mergeCell ref="J169:J171"/>
    <mergeCell ref="J172:J174"/>
    <mergeCell ref="J175:J177"/>
    <mergeCell ref="J178:J180"/>
    <mergeCell ref="J181:J183"/>
  </mergeCells>
  <dataValidations count="1">
    <dataValidation allowBlank="true" errorStyle="stop" operator="equal" showDropDown="false" showErrorMessage="true" showInputMessage="false" sqref="J2:L2" type="list">
      <formula1>COV!$A$2:$A$100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8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B13" activeCellId="0" sqref="B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54"/>
    <col collapsed="false" customWidth="true" hidden="false" outlineLevel="0" max="4" min="4" style="0" width="19.1"/>
    <col collapsed="false" customWidth="true" hidden="false" outlineLevel="0" max="5" min="5" style="0" width="17.71"/>
    <col collapsed="false" customWidth="true" hidden="false" outlineLevel="0" max="6" min="6" style="0" width="20.63"/>
    <col collapsed="false" customWidth="true" hidden="false" outlineLevel="0" max="8" min="8" style="0" width="17.71"/>
    <col collapsed="false" customWidth="true" hidden="false" outlineLevel="0" max="9" min="9" style="0" width="19.66"/>
    <col collapsed="false" customWidth="true" hidden="false" outlineLevel="0" max="10" min="10" style="0" width="16.13"/>
    <col collapsed="false" customWidth="true" hidden="false" outlineLevel="0" max="11" min="11" style="0" width="17.71"/>
    <col collapsed="false" customWidth="true" hidden="false" outlineLevel="0" max="12" min="12" style="0" width="19.66"/>
    <col collapsed="false" customWidth="true" hidden="false" outlineLevel="0" max="13" min="13" style="0" width="19.1"/>
  </cols>
  <sheetData>
    <row r="1" customFormat="false" ht="12.8" hidden="false" customHeight="false" outlineLevel="0" collapsed="false">
      <c r="A1" s="139" t="s">
        <v>104</v>
      </c>
      <c r="B1" s="271" t="s">
        <v>105</v>
      </c>
      <c r="C1" s="271" t="s">
        <v>106</v>
      </c>
      <c r="D1" s="271" t="s">
        <v>107</v>
      </c>
      <c r="E1" s="139"/>
      <c r="F1" s="52"/>
      <c r="G1" s="139"/>
      <c r="H1" s="52"/>
      <c r="I1" s="139"/>
      <c r="J1" s="139" t="s">
        <v>108</v>
      </c>
      <c r="K1" s="52"/>
      <c r="L1" s="211" t="s">
        <v>106</v>
      </c>
      <c r="M1" s="211" t="s">
        <v>107</v>
      </c>
    </row>
    <row r="2" customFormat="false" ht="12.8" hidden="false" customHeight="false" outlineLevel="0" collapsed="false">
      <c r="A2" s="139" t="s">
        <v>109</v>
      </c>
      <c r="B2" s="272" t="n">
        <v>0.3133</v>
      </c>
      <c r="C2" s="272" t="n">
        <v>0.1</v>
      </c>
      <c r="D2" s="272" t="n">
        <v>0.3</v>
      </c>
      <c r="E2" s="139"/>
      <c r="F2" s="52"/>
      <c r="G2" s="139"/>
      <c r="H2" s="52"/>
      <c r="I2" s="139"/>
      <c r="J2" s="52"/>
      <c r="K2" s="139"/>
      <c r="L2" s="273" t="n">
        <v>1</v>
      </c>
      <c r="M2" s="273" t="n">
        <v>1.5</v>
      </c>
    </row>
    <row r="3" customFormat="false" ht="12.8" hidden="false" customHeight="false" outlineLevel="0" collapsed="false">
      <c r="A3" s="139"/>
      <c r="B3" s="274" t="n">
        <v>0.4</v>
      </c>
      <c r="C3" s="274" t="n">
        <v>0.128</v>
      </c>
      <c r="D3" s="274" t="n">
        <v>0.4</v>
      </c>
      <c r="E3" s="139"/>
      <c r="F3" s="52"/>
      <c r="G3" s="139"/>
      <c r="H3" s="52"/>
      <c r="I3" s="139"/>
      <c r="J3" s="52"/>
      <c r="K3" s="139"/>
      <c r="L3" s="273" t="n">
        <v>5</v>
      </c>
      <c r="M3" s="273" t="n">
        <v>4</v>
      </c>
    </row>
    <row r="4" customFormat="false" ht="12.8" hidden="false" customHeight="false" outlineLevel="0" collapsed="false">
      <c r="A4" s="139"/>
      <c r="B4" s="274" t="n">
        <v>0.5</v>
      </c>
      <c r="C4" s="274" t="n">
        <v>0.16</v>
      </c>
      <c r="D4" s="274" t="n">
        <v>0.45</v>
      </c>
      <c r="E4" s="139"/>
      <c r="F4" s="52"/>
      <c r="G4" s="139"/>
      <c r="H4" s="52"/>
      <c r="I4" s="139"/>
      <c r="J4" s="52"/>
      <c r="K4" s="139"/>
      <c r="L4" s="273" t="n">
        <v>10</v>
      </c>
      <c r="M4" s="273" t="n">
        <v>8.9</v>
      </c>
    </row>
    <row r="5" customFormat="false" ht="12.8" hidden="false" customHeight="false" outlineLevel="0" collapsed="false">
      <c r="A5" s="139"/>
      <c r="B5" s="274" t="n">
        <v>0.6</v>
      </c>
      <c r="C5" s="274" t="n">
        <v>0.191</v>
      </c>
      <c r="D5" s="274" t="n">
        <v>0.59</v>
      </c>
      <c r="E5" s="139"/>
      <c r="F5" s="52"/>
      <c r="G5" s="139"/>
      <c r="H5" s="52"/>
      <c r="I5" s="139"/>
      <c r="J5" s="52"/>
      <c r="K5" s="139"/>
      <c r="L5" s="273" t="n">
        <v>15</v>
      </c>
      <c r="M5" s="273" t="n">
        <v>13.3</v>
      </c>
    </row>
    <row r="6" customFormat="false" ht="12.8" hidden="false" customHeight="false" outlineLevel="0" collapsed="false">
      <c r="A6" s="139"/>
      <c r="B6" s="274" t="n">
        <v>0.75</v>
      </c>
      <c r="C6" s="274" t="n">
        <v>0.239</v>
      </c>
      <c r="D6" s="274" t="n">
        <v>0.67</v>
      </c>
      <c r="E6" s="139"/>
      <c r="F6" s="52"/>
      <c r="G6" s="139"/>
      <c r="H6" s="52"/>
      <c r="I6" s="139"/>
      <c r="J6" s="52"/>
      <c r="K6" s="139"/>
      <c r="L6" s="273" t="n">
        <v>20</v>
      </c>
      <c r="M6" s="273" t="n">
        <v>17.5</v>
      </c>
    </row>
    <row r="7" customFormat="false" ht="12.8" hidden="false" customHeight="false" outlineLevel="0" collapsed="false">
      <c r="A7" s="139"/>
      <c r="B7" s="274" t="n">
        <v>0.8</v>
      </c>
      <c r="C7" s="274" t="n">
        <v>0.255</v>
      </c>
      <c r="D7" s="274" t="n">
        <v>0.92</v>
      </c>
      <c r="E7" s="139"/>
      <c r="F7" s="52"/>
      <c r="G7" s="139"/>
      <c r="H7" s="52"/>
      <c r="I7" s="139"/>
      <c r="J7" s="52"/>
      <c r="K7" s="139"/>
      <c r="L7" s="273" t="n">
        <v>30</v>
      </c>
      <c r="M7" s="273" t="n">
        <v>26</v>
      </c>
    </row>
    <row r="8" customFormat="false" ht="12.8" hidden="false" customHeight="false" outlineLevel="0" collapsed="false">
      <c r="A8" s="139"/>
      <c r="B8" s="274" t="n">
        <v>0.9</v>
      </c>
      <c r="C8" s="274" t="n">
        <v>0.287</v>
      </c>
      <c r="D8" s="274" t="n">
        <v>1.14</v>
      </c>
      <c r="E8" s="139"/>
      <c r="F8" s="52"/>
      <c r="G8" s="139"/>
      <c r="H8" s="52"/>
      <c r="I8" s="139"/>
      <c r="J8" s="52"/>
      <c r="K8" s="139"/>
      <c r="L8" s="273" t="n">
        <v>50</v>
      </c>
      <c r="M8" s="273" t="n">
        <v>44</v>
      </c>
    </row>
    <row r="9" customFormat="false" ht="12.8" hidden="false" customHeight="false" outlineLevel="0" collapsed="false">
      <c r="A9" s="139"/>
      <c r="B9" s="274" t="n">
        <v>1</v>
      </c>
      <c r="C9" s="274" t="n">
        <v>0.319</v>
      </c>
      <c r="D9" s="274" t="n">
        <v>1.16</v>
      </c>
      <c r="E9" s="139"/>
      <c r="F9" s="52"/>
      <c r="G9" s="139"/>
      <c r="H9" s="52"/>
      <c r="I9" s="139"/>
      <c r="J9" s="52"/>
      <c r="K9" s="139"/>
      <c r="L9" s="273" t="n">
        <v>80</v>
      </c>
      <c r="M9" s="273" t="n">
        <v>69</v>
      </c>
    </row>
    <row r="10" customFormat="false" ht="12.8" hidden="false" customHeight="false" outlineLevel="0" collapsed="false">
      <c r="A10" s="139"/>
      <c r="B10" s="274" t="n">
        <v>1.25</v>
      </c>
      <c r="C10" s="274" t="n">
        <v>0.399</v>
      </c>
      <c r="D10" s="274" t="n">
        <v>1.35</v>
      </c>
      <c r="E10" s="139"/>
      <c r="F10" s="52"/>
      <c r="G10" s="139"/>
      <c r="H10" s="52"/>
      <c r="I10" s="139"/>
      <c r="J10" s="52"/>
      <c r="K10" s="139"/>
      <c r="L10" s="273" t="n">
        <v>100</v>
      </c>
      <c r="M10" s="273" t="n">
        <v>87</v>
      </c>
    </row>
    <row r="11" customFormat="false" ht="12.8" hidden="false" customHeight="false" outlineLevel="0" collapsed="false">
      <c r="A11" s="139"/>
      <c r="B11" s="274" t="n">
        <v>1.5</v>
      </c>
      <c r="C11" s="274" t="n">
        <v>0.479</v>
      </c>
      <c r="D11" s="274" t="n">
        <v>1.43</v>
      </c>
      <c r="E11" s="139"/>
      <c r="F11" s="52"/>
      <c r="G11" s="139"/>
      <c r="H11" s="52"/>
      <c r="I11" s="139"/>
      <c r="J11" s="52"/>
      <c r="K11" s="139"/>
      <c r="L11" s="273" t="n">
        <v>120</v>
      </c>
      <c r="M11" s="273" t="n">
        <v>104</v>
      </c>
    </row>
    <row r="12" customFormat="false" ht="12.8" hidden="false" customHeight="false" outlineLevel="0" collapsed="false">
      <c r="A12" s="139"/>
      <c r="B12" s="275" t="n">
        <v>1.75</v>
      </c>
      <c r="C12" s="275" t="n">
        <v>0.559</v>
      </c>
      <c r="D12" s="275" t="n">
        <v>1.67</v>
      </c>
      <c r="E12" s="139"/>
      <c r="F12" s="52"/>
      <c r="G12" s="139"/>
      <c r="H12" s="52"/>
      <c r="I12" s="139"/>
      <c r="J12" s="52"/>
      <c r="K12" s="139"/>
      <c r="L12" s="276" t="n">
        <v>200</v>
      </c>
      <c r="M12" s="276" t="n">
        <v>168</v>
      </c>
    </row>
    <row r="13" customFormat="false" ht="12.8" hidden="false" customHeight="false" outlineLevel="0" collapsed="false">
      <c r="A13" s="139"/>
      <c r="B13" s="139"/>
      <c r="C13" s="139"/>
      <c r="D13" s="139"/>
      <c r="E13" s="139"/>
      <c r="F13" s="52"/>
      <c r="G13" s="139"/>
      <c r="H13" s="52"/>
      <c r="I13" s="139"/>
      <c r="J13" s="139"/>
      <c r="K13" s="139"/>
      <c r="L13" s="139"/>
      <c r="M13" s="139"/>
    </row>
    <row r="14" customFormat="false" ht="12.8" hidden="false" customHeight="false" outlineLevel="0" collapsed="false">
      <c r="A14" s="139"/>
      <c r="B14" s="139"/>
      <c r="C14" s="139"/>
      <c r="D14" s="139"/>
      <c r="E14" s="139"/>
      <c r="F14" s="52"/>
      <c r="G14" s="139"/>
      <c r="H14" s="52"/>
      <c r="I14" s="139"/>
      <c r="J14" s="139"/>
      <c r="K14" s="139"/>
      <c r="L14" s="139"/>
      <c r="M14" s="139"/>
    </row>
    <row r="15" customFormat="false" ht="12.8" hidden="false" customHeight="false" outlineLevel="0" collapsed="false">
      <c r="A15" s="139"/>
      <c r="B15" s="139"/>
      <c r="C15" s="139"/>
      <c r="D15" s="139"/>
      <c r="E15" s="139"/>
      <c r="F15" s="52"/>
      <c r="G15" s="139"/>
      <c r="H15" s="52"/>
      <c r="I15" s="139"/>
      <c r="J15" s="139"/>
      <c r="K15" s="139"/>
      <c r="L15" s="139"/>
      <c r="M15" s="139"/>
    </row>
    <row r="16" customFormat="false" ht="12.8" hidden="false" customHeight="false" outlineLevel="0" collapsed="false">
      <c r="A16" s="139"/>
      <c r="B16" s="139"/>
      <c r="C16" s="139"/>
      <c r="D16" s="139"/>
      <c r="E16" s="139"/>
      <c r="F16" s="52"/>
      <c r="G16" s="139"/>
      <c r="H16" s="52"/>
      <c r="I16" s="139"/>
      <c r="J16" s="139"/>
      <c r="K16" s="139"/>
      <c r="L16" s="139"/>
      <c r="M16" s="139"/>
    </row>
    <row r="17" customFormat="false" ht="12.8" hidden="false" customHeight="false" outlineLevel="0" collapsed="false">
      <c r="A17" s="139"/>
      <c r="B17" s="139"/>
      <c r="C17" s="139"/>
      <c r="D17" s="139"/>
      <c r="E17" s="139"/>
      <c r="F17" s="52"/>
      <c r="G17" s="139"/>
      <c r="H17" s="52"/>
      <c r="I17" s="139"/>
      <c r="J17" s="139"/>
      <c r="K17" s="139"/>
      <c r="L17" s="139"/>
      <c r="M17" s="139"/>
    </row>
    <row r="18" customFormat="false" ht="12.8" hidden="false" customHeight="false" outlineLevel="0" collapsed="false">
      <c r="A18" s="139"/>
      <c r="B18" s="139"/>
      <c r="C18" s="139"/>
      <c r="D18" s="139"/>
      <c r="E18" s="139"/>
      <c r="F18" s="52"/>
      <c r="G18" s="139"/>
      <c r="H18" s="52"/>
      <c r="I18" s="139"/>
      <c r="J18" s="139"/>
      <c r="K18" s="139"/>
      <c r="L18" s="139"/>
      <c r="M18" s="139"/>
    </row>
    <row r="19" customFormat="false" ht="12.8" hidden="false" customHeight="false" outlineLevel="0" collapsed="false">
      <c r="A19" s="139"/>
      <c r="B19" s="139"/>
      <c r="C19" s="139"/>
      <c r="D19" s="139"/>
      <c r="E19" s="139"/>
      <c r="F19" s="52"/>
      <c r="G19" s="139"/>
      <c r="H19" s="52"/>
      <c r="I19" s="139"/>
      <c r="J19" s="139"/>
      <c r="K19" s="139"/>
      <c r="L19" s="139"/>
      <c r="M19" s="139"/>
    </row>
    <row r="20" customFormat="false" ht="12.8" hidden="false" customHeight="false" outlineLevel="0" collapsed="false">
      <c r="A20" s="139"/>
      <c r="B20" s="139"/>
      <c r="C20" s="139"/>
      <c r="D20" s="139"/>
      <c r="E20" s="139"/>
      <c r="F20" s="52"/>
      <c r="G20" s="139"/>
      <c r="H20" s="52"/>
      <c r="I20" s="139"/>
      <c r="J20" s="139"/>
      <c r="K20" s="139"/>
      <c r="L20" s="139"/>
      <c r="M20" s="139"/>
    </row>
    <row r="21" customFormat="false" ht="12.8" hidden="false" customHeight="false" outlineLevel="0" collapsed="false">
      <c r="A21" s="139"/>
      <c r="B21" s="139"/>
      <c r="C21" s="139"/>
      <c r="D21" s="139"/>
      <c r="E21" s="139"/>
      <c r="F21" s="52"/>
      <c r="G21" s="139"/>
      <c r="H21" s="52"/>
      <c r="I21" s="139"/>
      <c r="J21" s="139"/>
      <c r="K21" s="139"/>
      <c r="L21" s="139"/>
      <c r="M21" s="139"/>
    </row>
    <row r="22" customFormat="false" ht="12.8" hidden="false" customHeight="false" outlineLevel="0" collapsed="false">
      <c r="A22" s="52"/>
      <c r="B22" s="52"/>
      <c r="C22" s="52"/>
      <c r="D22" s="52"/>
      <c r="E22" s="139"/>
      <c r="F22" s="52"/>
      <c r="G22" s="139"/>
      <c r="H22" s="52"/>
      <c r="I22" s="139"/>
      <c r="J22" s="52"/>
      <c r="K22" s="52"/>
      <c r="L22" s="52"/>
      <c r="M22" s="52"/>
    </row>
    <row r="23" customFormat="false" ht="12.8" hidden="false" customHeight="false" outlineLevel="0" collapsed="false">
      <c r="A23" s="52"/>
      <c r="B23" s="52"/>
      <c r="C23" s="52"/>
      <c r="D23" s="52"/>
      <c r="E23" s="139"/>
      <c r="F23" s="52"/>
      <c r="G23" s="139"/>
      <c r="H23" s="52"/>
      <c r="I23" s="139"/>
      <c r="J23" s="52"/>
      <c r="K23" s="52"/>
      <c r="L23" s="52"/>
      <c r="M23" s="52"/>
    </row>
    <row r="24" customFormat="false" ht="12.8" hidden="false" customHeight="false" outlineLevel="0" collapsed="false">
      <c r="A24" s="52"/>
      <c r="B24" s="52"/>
      <c r="C24" s="52"/>
      <c r="D24" s="52"/>
      <c r="E24" s="139"/>
      <c r="F24" s="52"/>
      <c r="G24" s="139"/>
      <c r="H24" s="52"/>
      <c r="I24" s="139"/>
    </row>
    <row r="25" customFormat="false" ht="12.8" hidden="false" customHeight="false" outlineLevel="0" collapsed="false">
      <c r="A25" s="139" t="s">
        <v>110</v>
      </c>
      <c r="B25" s="211" t="s">
        <v>105</v>
      </c>
      <c r="C25" s="211" t="s">
        <v>106</v>
      </c>
      <c r="D25" s="211" t="s">
        <v>107</v>
      </c>
      <c r="E25" s="139"/>
      <c r="F25" s="52"/>
      <c r="G25" s="139"/>
      <c r="H25" s="52"/>
      <c r="I25" s="139"/>
      <c r="J25" s="139" t="s">
        <v>111</v>
      </c>
      <c r="K25" s="211" t="s">
        <v>105</v>
      </c>
      <c r="L25" s="211" t="s">
        <v>106</v>
      </c>
      <c r="M25" s="211" t="s">
        <v>107</v>
      </c>
    </row>
    <row r="26" customFormat="false" ht="12.8" hidden="false" customHeight="false" outlineLevel="0" collapsed="false">
      <c r="A26" s="139" t="s">
        <v>112</v>
      </c>
      <c r="B26" s="272" t="n">
        <v>2</v>
      </c>
      <c r="C26" s="272" t="n">
        <v>0.67</v>
      </c>
      <c r="D26" s="272" t="n">
        <v>1.8</v>
      </c>
      <c r="E26" s="139"/>
      <c r="F26" s="52"/>
      <c r="G26" s="139"/>
      <c r="H26" s="52"/>
      <c r="I26" s="139"/>
      <c r="J26" s="139" t="s">
        <v>113</v>
      </c>
      <c r="K26" s="272" t="n">
        <v>1</v>
      </c>
      <c r="L26" s="272" t="n">
        <v>0.949</v>
      </c>
      <c r="M26" s="272" t="n">
        <v>3</v>
      </c>
    </row>
    <row r="27" customFormat="false" ht="12.8" hidden="false" customHeight="false" outlineLevel="0" collapsed="false">
      <c r="A27" s="139"/>
      <c r="B27" s="274" t="n">
        <v>2.5</v>
      </c>
      <c r="C27" s="274" t="n">
        <v>0.837</v>
      </c>
      <c r="D27" s="274" t="n">
        <v>2.4</v>
      </c>
      <c r="E27" s="139"/>
      <c r="F27" s="52"/>
      <c r="G27" s="139"/>
      <c r="H27" s="52"/>
      <c r="I27" s="139"/>
      <c r="J27" s="139" t="s">
        <v>114</v>
      </c>
      <c r="K27" s="274" t="n">
        <v>1.5</v>
      </c>
      <c r="L27" s="274" t="n">
        <v>1.424</v>
      </c>
      <c r="M27" s="274" t="n">
        <v>3.8</v>
      </c>
    </row>
    <row r="28" customFormat="false" ht="12.8" hidden="false" customHeight="false" outlineLevel="0" collapsed="false">
      <c r="A28" s="139"/>
      <c r="B28" s="274" t="n">
        <v>2.8</v>
      </c>
      <c r="C28" s="274" t="n">
        <v>0.938</v>
      </c>
      <c r="D28" s="274" t="n">
        <v>3</v>
      </c>
      <c r="E28" s="139"/>
      <c r="F28" s="52"/>
      <c r="G28" s="139"/>
      <c r="H28" s="52"/>
      <c r="I28" s="139"/>
      <c r="J28" s="139"/>
      <c r="K28" s="274" t="n">
        <v>1.8</v>
      </c>
      <c r="L28" s="274" t="n">
        <v>1.709</v>
      </c>
      <c r="M28" s="274" t="n">
        <v>5</v>
      </c>
    </row>
    <row r="29" customFormat="false" ht="12.8" hidden="false" customHeight="false" outlineLevel="0" collapsed="false">
      <c r="A29" s="139"/>
      <c r="B29" s="274" t="n">
        <v>3</v>
      </c>
      <c r="C29" s="274" t="n">
        <v>1.004</v>
      </c>
      <c r="D29" s="274" t="n">
        <v>3.2</v>
      </c>
      <c r="E29" s="139"/>
      <c r="F29" s="52"/>
      <c r="G29" s="139"/>
      <c r="H29" s="52"/>
      <c r="I29" s="139"/>
      <c r="J29" s="139"/>
      <c r="K29" s="274" t="n">
        <v>2</v>
      </c>
      <c r="L29" s="274" t="n">
        <v>1.899</v>
      </c>
      <c r="M29" s="274" t="n">
        <v>5.6</v>
      </c>
    </row>
    <row r="30" customFormat="false" ht="12.8" hidden="false" customHeight="false" outlineLevel="0" collapsed="false">
      <c r="A30" s="139"/>
      <c r="B30" s="274" t="n">
        <v>3.5</v>
      </c>
      <c r="C30" s="274" t="n">
        <v>1.172</v>
      </c>
      <c r="D30" s="274" t="n">
        <v>3.6</v>
      </c>
      <c r="E30" s="139"/>
      <c r="F30" s="52"/>
      <c r="G30" s="139"/>
      <c r="H30" s="52"/>
      <c r="I30" s="139"/>
      <c r="J30" s="139"/>
      <c r="K30" s="274" t="n">
        <v>2.5</v>
      </c>
      <c r="L30" s="274" t="n">
        <v>2.373</v>
      </c>
      <c r="M30" s="274" t="n">
        <v>6.8</v>
      </c>
    </row>
    <row r="31" customFormat="false" ht="12.8" hidden="false" customHeight="false" outlineLevel="0" collapsed="false">
      <c r="A31" s="139"/>
      <c r="B31" s="274" t="n">
        <v>4</v>
      </c>
      <c r="C31" s="274" t="n">
        <v>1.339</v>
      </c>
      <c r="D31" s="274" t="n">
        <v>4.2</v>
      </c>
      <c r="E31" s="139"/>
      <c r="F31" s="52"/>
      <c r="G31" s="139"/>
      <c r="H31" s="52"/>
      <c r="I31" s="139"/>
      <c r="J31" s="139"/>
      <c r="K31" s="274" t="n">
        <v>3</v>
      </c>
      <c r="L31" s="274" t="n">
        <v>2.848</v>
      </c>
      <c r="M31" s="274" t="n">
        <v>8.5</v>
      </c>
    </row>
    <row r="32" customFormat="false" ht="12.8" hidden="false" customHeight="false" outlineLevel="0" collapsed="false">
      <c r="A32" s="139"/>
      <c r="B32" s="274" t="n">
        <v>4.5</v>
      </c>
      <c r="C32" s="274" t="n">
        <v>1.507</v>
      </c>
      <c r="D32" s="274" t="n">
        <v>4.8</v>
      </c>
      <c r="E32" s="139"/>
      <c r="F32" s="52"/>
      <c r="G32" s="139"/>
      <c r="H32" s="52"/>
      <c r="I32" s="139"/>
      <c r="J32" s="139"/>
      <c r="K32" s="274" t="n">
        <v>3.5</v>
      </c>
      <c r="L32" s="274" t="n">
        <v>3.323</v>
      </c>
      <c r="M32" s="274" t="n">
        <v>10.5</v>
      </c>
    </row>
    <row r="33" customFormat="false" ht="12.8" hidden="false" customHeight="false" outlineLevel="0" collapsed="false">
      <c r="A33" s="139"/>
      <c r="B33" s="274" t="n">
        <v>5</v>
      </c>
      <c r="C33" s="274" t="n">
        <v>1.674</v>
      </c>
      <c r="D33" s="274" t="n">
        <v>5.4</v>
      </c>
      <c r="E33" s="139"/>
      <c r="F33" s="52"/>
      <c r="G33" s="139"/>
      <c r="H33" s="52"/>
      <c r="I33" s="139"/>
      <c r="J33" s="139"/>
      <c r="K33" s="274" t="n">
        <v>4</v>
      </c>
      <c r="L33" s="274" t="n">
        <v>3.797</v>
      </c>
      <c r="M33" s="274" t="n">
        <v>11.5</v>
      </c>
    </row>
    <row r="34" customFormat="false" ht="12.8" hidden="false" customHeight="false" outlineLevel="0" collapsed="false">
      <c r="A34" s="139"/>
      <c r="B34" s="274" t="n">
        <v>5.5</v>
      </c>
      <c r="C34" s="274" t="n">
        <v>1.842</v>
      </c>
      <c r="D34" s="274" t="n">
        <v>6</v>
      </c>
      <c r="E34" s="139"/>
      <c r="F34" s="52"/>
      <c r="G34" s="139"/>
      <c r="H34" s="52"/>
      <c r="I34" s="139"/>
      <c r="J34" s="139"/>
      <c r="K34" s="274" t="n">
        <v>4.5</v>
      </c>
      <c r="L34" s="274" t="n">
        <v>4.272</v>
      </c>
      <c r="M34" s="274" t="n">
        <v>13.4</v>
      </c>
    </row>
    <row r="35" customFormat="false" ht="12.8" hidden="false" customHeight="false" outlineLevel="0" collapsed="false">
      <c r="A35" s="139"/>
      <c r="B35" s="274" t="n">
        <v>6</v>
      </c>
      <c r="C35" s="274" t="n">
        <v>2.009</v>
      </c>
      <c r="D35" s="274" t="n">
        <v>6.4</v>
      </c>
      <c r="E35" s="139"/>
      <c r="F35" s="52"/>
      <c r="G35" s="139"/>
      <c r="H35" s="52"/>
      <c r="I35" s="139"/>
      <c r="J35" s="139"/>
      <c r="K35" s="274" t="n">
        <v>5</v>
      </c>
      <c r="L35" s="274" t="n">
        <v>4.747</v>
      </c>
      <c r="M35" s="274" t="n">
        <v>15</v>
      </c>
    </row>
    <row r="36" customFormat="false" ht="12.8" hidden="false" customHeight="false" outlineLevel="0" collapsed="false">
      <c r="A36" s="139"/>
      <c r="B36" s="275" t="n">
        <v>6.5</v>
      </c>
      <c r="C36" s="275" t="n">
        <v>2.176</v>
      </c>
      <c r="D36" s="275" t="n">
        <v>7.2</v>
      </c>
      <c r="E36" s="139"/>
      <c r="F36" s="52"/>
      <c r="G36" s="139"/>
      <c r="H36" s="52"/>
      <c r="I36" s="139"/>
      <c r="J36" s="139"/>
      <c r="K36" s="275" t="n">
        <v>5.5</v>
      </c>
      <c r="L36" s="275" t="n">
        <v>5.222</v>
      </c>
      <c r="M36" s="275" t="n">
        <v>17</v>
      </c>
    </row>
    <row r="37" customFormat="false" ht="12.8" hidden="false" customHeight="false" outlineLevel="0" collapsed="false">
      <c r="A37" s="139"/>
      <c r="B37" s="139"/>
      <c r="C37" s="139"/>
      <c r="D37" s="139"/>
      <c r="E37" s="139"/>
      <c r="F37" s="52"/>
      <c r="G37" s="139"/>
      <c r="H37" s="52"/>
      <c r="I37" s="139"/>
      <c r="J37" s="139"/>
      <c r="K37" s="139"/>
      <c r="L37" s="139"/>
      <c r="M37" s="139"/>
      <c r="N37" s="139"/>
      <c r="O37" s="139"/>
    </row>
    <row r="38" customFormat="false" ht="12.8" hidden="false" customHeight="false" outlineLevel="0" collapsed="false">
      <c r="A38" s="139"/>
      <c r="B38" s="139"/>
      <c r="C38" s="139"/>
      <c r="D38" s="139"/>
      <c r="E38" s="139"/>
      <c r="F38" s="52"/>
      <c r="G38" s="139"/>
      <c r="H38" s="52"/>
      <c r="I38" s="139"/>
      <c r="J38" s="139"/>
      <c r="K38" s="139"/>
      <c r="L38" s="139"/>
      <c r="M38" s="139"/>
      <c r="N38" s="139"/>
      <c r="O38" s="139"/>
    </row>
    <row r="39" customFormat="false" ht="12.8" hidden="false" customHeight="false" outlineLevel="0" collapsed="false">
      <c r="A39" s="249"/>
      <c r="B39" s="249"/>
      <c r="C39" s="249"/>
      <c r="D39" s="249"/>
      <c r="E39" s="249"/>
      <c r="G39" s="249"/>
      <c r="I39" s="249"/>
      <c r="J39" s="249"/>
      <c r="K39" s="249"/>
      <c r="L39" s="249"/>
      <c r="M39" s="249"/>
      <c r="N39" s="249"/>
      <c r="O39" s="249"/>
    </row>
    <row r="40" customFormat="false" ht="12.8" hidden="false" customHeight="false" outlineLevel="0" collapsed="false">
      <c r="A40" s="249"/>
      <c r="B40" s="249"/>
      <c r="C40" s="249"/>
      <c r="D40" s="249"/>
      <c r="E40" s="249"/>
      <c r="G40" s="249"/>
      <c r="I40" s="249"/>
      <c r="J40" s="249"/>
      <c r="K40" s="249"/>
      <c r="L40" s="249"/>
      <c r="M40" s="249"/>
      <c r="N40" s="249"/>
      <c r="O40" s="249"/>
    </row>
    <row r="41" customFormat="false" ht="12.8" hidden="false" customHeight="false" outlineLevel="0" collapsed="false">
      <c r="A41" s="249"/>
      <c r="B41" s="249"/>
      <c r="C41" s="249"/>
      <c r="D41" s="249"/>
      <c r="E41" s="249"/>
      <c r="G41" s="249"/>
      <c r="I41" s="249"/>
      <c r="J41" s="249"/>
      <c r="K41" s="249"/>
      <c r="L41" s="249"/>
      <c r="M41" s="249"/>
      <c r="N41" s="249"/>
      <c r="O41" s="249"/>
    </row>
    <row r="42" customFormat="false" ht="12.8" hidden="false" customHeight="false" outlineLevel="0" collapsed="false">
      <c r="A42" s="249"/>
      <c r="B42" s="249"/>
      <c r="C42" s="249"/>
      <c r="D42" s="249"/>
      <c r="E42" s="249"/>
      <c r="G42" s="249"/>
      <c r="I42" s="249"/>
      <c r="J42" s="249"/>
      <c r="K42" s="249"/>
      <c r="L42" s="249"/>
      <c r="M42" s="249"/>
      <c r="N42" s="249"/>
      <c r="O42" s="249"/>
    </row>
    <row r="43" customFormat="false" ht="12.8" hidden="false" customHeight="false" outlineLevel="0" collapsed="false">
      <c r="A43" s="249"/>
      <c r="B43" s="249"/>
      <c r="C43" s="249"/>
      <c r="D43" s="249"/>
      <c r="E43" s="249"/>
      <c r="G43" s="249"/>
      <c r="I43" s="249"/>
      <c r="J43" s="249"/>
      <c r="K43" s="249"/>
      <c r="L43" s="249"/>
      <c r="M43" s="249"/>
      <c r="N43" s="249"/>
      <c r="O43" s="249"/>
    </row>
    <row r="44" customFormat="false" ht="12.8" hidden="false" customHeight="false" outlineLevel="0" collapsed="false">
      <c r="A44" s="249"/>
      <c r="B44" s="249"/>
      <c r="C44" s="249"/>
      <c r="D44" s="249"/>
      <c r="E44" s="249"/>
      <c r="G44" s="249"/>
      <c r="I44" s="249"/>
      <c r="J44" s="249"/>
      <c r="K44" s="249"/>
      <c r="L44" s="249"/>
      <c r="M44" s="249"/>
      <c r="N44" s="249"/>
      <c r="O44" s="249"/>
    </row>
    <row r="45" customFormat="false" ht="12.8" hidden="false" customHeight="false" outlineLevel="0" collapsed="false">
      <c r="A45" s="249"/>
      <c r="B45" s="249"/>
      <c r="C45" s="249"/>
      <c r="D45" s="249"/>
      <c r="E45" s="249"/>
      <c r="G45" s="249"/>
      <c r="I45" s="249"/>
      <c r="J45" s="249"/>
      <c r="K45" s="249"/>
      <c r="L45" s="249"/>
      <c r="M45" s="249"/>
      <c r="N45" s="249"/>
      <c r="O45" s="249"/>
    </row>
    <row r="46" customFormat="false" ht="12.8" hidden="false" customHeight="false" outlineLevel="0" collapsed="false">
      <c r="A46" s="249"/>
      <c r="B46" s="249"/>
      <c r="C46" s="249"/>
      <c r="D46" s="249"/>
      <c r="E46" s="249"/>
      <c r="G46" s="249"/>
      <c r="I46" s="249"/>
      <c r="J46" s="249"/>
      <c r="K46" s="249"/>
      <c r="L46" s="249"/>
      <c r="M46" s="249"/>
      <c r="N46" s="249"/>
      <c r="O46" s="249"/>
    </row>
    <row r="47" customFormat="false" ht="12.8" hidden="false" customHeight="false" outlineLevel="0" collapsed="false">
      <c r="A47" s="249"/>
      <c r="B47" s="249"/>
      <c r="C47" s="249"/>
      <c r="D47" s="249"/>
      <c r="E47" s="249"/>
      <c r="G47" s="249"/>
      <c r="I47" s="249"/>
      <c r="J47" s="249"/>
      <c r="K47" s="249"/>
      <c r="L47" s="249"/>
      <c r="M47" s="249"/>
      <c r="N47" s="249"/>
      <c r="O47" s="249"/>
    </row>
    <row r="48" customFormat="false" ht="12.8" hidden="false" customHeight="false" outlineLevel="0" collapsed="false">
      <c r="A48" s="249"/>
      <c r="B48" s="249"/>
      <c r="C48" s="249"/>
      <c r="D48" s="249"/>
      <c r="E48" s="249"/>
      <c r="G48" s="249"/>
      <c r="I48" s="249"/>
      <c r="J48" s="249"/>
      <c r="K48" s="249"/>
      <c r="L48" s="249"/>
      <c r="M48" s="249"/>
      <c r="N48" s="249"/>
      <c r="O48" s="249"/>
    </row>
    <row r="49" customFormat="false" ht="12.8" hidden="false" customHeight="false" outlineLevel="0" collapsed="false">
      <c r="A49" s="249"/>
      <c r="B49" s="249"/>
      <c r="C49" s="249"/>
      <c r="D49" s="249"/>
      <c r="E49" s="249"/>
      <c r="G49" s="249"/>
      <c r="I49" s="249"/>
      <c r="J49" s="249"/>
      <c r="K49" s="249"/>
      <c r="L49" s="249"/>
      <c r="M49" s="249"/>
      <c r="N49" s="249"/>
      <c r="O49" s="249"/>
    </row>
    <row r="50" customFormat="false" ht="12.8" hidden="false" customHeight="false" outlineLevel="0" collapsed="false">
      <c r="A50" s="249"/>
      <c r="B50" s="249"/>
      <c r="C50" s="249"/>
      <c r="D50" s="249"/>
      <c r="E50" s="249"/>
      <c r="G50" s="249"/>
      <c r="I50" s="249"/>
      <c r="J50" s="249"/>
      <c r="K50" s="249"/>
      <c r="L50" s="249"/>
      <c r="M50" s="249"/>
      <c r="N50" s="249"/>
      <c r="O50" s="249"/>
    </row>
    <row r="51" customFormat="false" ht="12.8" hidden="false" customHeight="false" outlineLevel="0" collapsed="false">
      <c r="A51" s="249"/>
      <c r="B51" s="249"/>
      <c r="C51" s="249"/>
      <c r="D51" s="249"/>
      <c r="E51" s="249"/>
      <c r="G51" s="249"/>
      <c r="I51" s="249"/>
      <c r="J51" s="249"/>
      <c r="K51" s="249"/>
      <c r="L51" s="249"/>
      <c r="M51" s="249"/>
      <c r="N51" s="249"/>
      <c r="O51" s="249"/>
    </row>
    <row r="52" customFormat="false" ht="12.8" hidden="false" customHeight="false" outlineLevel="0" collapsed="false">
      <c r="A52" s="249"/>
      <c r="B52" s="249"/>
      <c r="C52" s="249"/>
      <c r="D52" s="249"/>
      <c r="E52" s="249"/>
      <c r="G52" s="249"/>
      <c r="I52" s="249"/>
      <c r="J52" s="249"/>
      <c r="K52" s="249"/>
      <c r="L52" s="249"/>
      <c r="M52" s="249"/>
      <c r="N52" s="249"/>
      <c r="O52" s="249"/>
    </row>
    <row r="53" customFormat="false" ht="12.8" hidden="false" customHeight="false" outlineLevel="0" collapsed="false">
      <c r="C53" s="139"/>
      <c r="D53" s="139"/>
      <c r="E53" s="139"/>
      <c r="F53" s="52"/>
      <c r="G53" s="52"/>
      <c r="H53" s="211" t="s">
        <v>115</v>
      </c>
      <c r="I53" s="211"/>
      <c r="J53" s="211"/>
      <c r="K53" s="211"/>
      <c r="L53" s="211"/>
      <c r="M53" s="249"/>
      <c r="N53" s="249"/>
      <c r="O53" s="249"/>
    </row>
    <row r="54" customFormat="false" ht="12.8" hidden="false" customHeight="false" outlineLevel="0" collapsed="false">
      <c r="C54" s="139"/>
      <c r="D54" s="139"/>
      <c r="E54" s="211" t="s">
        <v>116</v>
      </c>
      <c r="F54" s="211"/>
      <c r="G54" s="52"/>
      <c r="H54" s="211" t="s">
        <v>117</v>
      </c>
      <c r="I54" s="211"/>
      <c r="J54" s="52"/>
      <c r="K54" s="211" t="s">
        <v>118</v>
      </c>
      <c r="L54" s="211"/>
      <c r="M54" s="249"/>
      <c r="N54" s="249"/>
      <c r="O54" s="249"/>
    </row>
    <row r="55" customFormat="false" ht="12.8" hidden="false" customHeight="false" outlineLevel="0" collapsed="false">
      <c r="A55" s="277" t="s">
        <v>119</v>
      </c>
      <c r="B55" s="278" t="n">
        <v>1</v>
      </c>
      <c r="C55" s="139"/>
      <c r="D55" s="277" t="s">
        <v>120</v>
      </c>
      <c r="E55" s="279" t="n">
        <v>30</v>
      </c>
      <c r="F55" s="280"/>
      <c r="G55" s="193"/>
      <c r="H55" s="279" t="n">
        <v>3</v>
      </c>
      <c r="I55" s="194"/>
      <c r="J55" s="281"/>
      <c r="K55" s="282" t="n">
        <v>12</v>
      </c>
      <c r="L55" s="283"/>
      <c r="M55" s="249"/>
      <c r="N55" s="249"/>
      <c r="O55" s="249"/>
    </row>
    <row r="56" customFormat="false" ht="12.8" hidden="false" customHeight="false" outlineLevel="0" collapsed="false">
      <c r="A56" s="276" t="s">
        <v>121</v>
      </c>
      <c r="B56" s="284" t="n">
        <v>4</v>
      </c>
      <c r="C56" s="139"/>
      <c r="D56" s="273" t="s">
        <v>107</v>
      </c>
      <c r="E56" s="279" t="n">
        <v>1000</v>
      </c>
      <c r="F56" s="194"/>
      <c r="G56" s="193"/>
      <c r="H56" s="279" t="n">
        <v>1000</v>
      </c>
      <c r="I56" s="194"/>
      <c r="J56" s="281"/>
      <c r="K56" s="279" t="n">
        <v>4000</v>
      </c>
      <c r="L56" s="285"/>
      <c r="M56" s="249"/>
      <c r="N56" s="249"/>
      <c r="O56" s="249"/>
    </row>
    <row r="57" customFormat="false" ht="12.8" hidden="false" customHeight="false" outlineLevel="0" collapsed="false">
      <c r="A57" s="139"/>
      <c r="B57" s="139"/>
      <c r="C57" s="139"/>
      <c r="D57" s="273" t="s">
        <v>122</v>
      </c>
      <c r="E57" s="279" t="n">
        <f aca="false">E56/E55</f>
        <v>33.3333333333333</v>
      </c>
      <c r="F57" s="194"/>
      <c r="G57" s="193"/>
      <c r="H57" s="279" t="n">
        <f aca="false">H56/H55</f>
        <v>333.333333333333</v>
      </c>
      <c r="I57" s="194"/>
      <c r="J57" s="281"/>
      <c r="K57" s="279" t="n">
        <f aca="false">K56/K55</f>
        <v>333.333333333333</v>
      </c>
      <c r="L57" s="285"/>
      <c r="M57" s="249"/>
      <c r="N57" s="249"/>
      <c r="O57" s="249"/>
    </row>
    <row r="58" customFormat="false" ht="12.8" hidden="false" customHeight="false" outlineLevel="0" collapsed="false">
      <c r="A58" s="277" t="s">
        <v>119</v>
      </c>
      <c r="B58" s="278" t="n">
        <v>20</v>
      </c>
      <c r="C58" s="139"/>
      <c r="D58" s="273" t="s">
        <v>123</v>
      </c>
      <c r="E58" s="279" t="n">
        <f aca="false">E57/$B$55</f>
        <v>33.3333333333333</v>
      </c>
      <c r="F58" s="194"/>
      <c r="G58" s="193"/>
      <c r="H58" s="279" t="n">
        <f aca="false">H57/$B$58</f>
        <v>16.6666666666667</v>
      </c>
      <c r="I58" s="194"/>
      <c r="J58" s="193"/>
      <c r="K58" s="279" t="n">
        <f aca="false">K57/$B$58</f>
        <v>16.6666666666667</v>
      </c>
      <c r="L58" s="285"/>
      <c r="M58" s="249"/>
      <c r="N58" s="249"/>
      <c r="O58" s="249"/>
    </row>
    <row r="59" customFormat="false" ht="12.8" hidden="false" customHeight="false" outlineLevel="0" collapsed="false">
      <c r="A59" s="276" t="s">
        <v>121</v>
      </c>
      <c r="B59" s="284" t="n">
        <v>5</v>
      </c>
      <c r="C59" s="139"/>
      <c r="D59" s="276" t="s">
        <v>124</v>
      </c>
      <c r="E59" s="279" t="n">
        <f aca="false">E58/$B$56</f>
        <v>8.33333333333333</v>
      </c>
      <c r="F59" s="194"/>
      <c r="G59" s="193"/>
      <c r="H59" s="279" t="n">
        <f aca="false">H58/$B$59</f>
        <v>3.33333333333333</v>
      </c>
      <c r="I59" s="194"/>
      <c r="J59" s="281"/>
      <c r="K59" s="279" t="n">
        <f aca="false">K58/$B$59</f>
        <v>3.33333333333333</v>
      </c>
      <c r="L59" s="285"/>
      <c r="O59" s="249"/>
    </row>
    <row r="60" customFormat="false" ht="12.8" hidden="false" customHeight="false" outlineLevel="0" collapsed="false">
      <c r="A60" s="139"/>
      <c r="B60" s="139"/>
      <c r="C60" s="139"/>
      <c r="D60" s="212" t="s">
        <v>125</v>
      </c>
      <c r="E60" s="282" t="n">
        <f aca="false" t="array" ref="E60:F60">LINEST(C2:C12,D2:D12)</f>
        <v>0.305306543235851</v>
      </c>
      <c r="F60" s="283" t="n">
        <v>0.00350091310751105</v>
      </c>
      <c r="G60" s="286"/>
      <c r="H60" s="282" t="n">
        <f aca="false" t="array" ref="H60:I60">LINEST(C26:C36,D26:D36)</f>
        <v>0.28786680229775</v>
      </c>
      <c r="I60" s="283" t="n">
        <v>0.122763044518909</v>
      </c>
      <c r="J60" s="287"/>
      <c r="K60" s="282" t="n">
        <f aca="false" t="array" ref="K60:L60">LINEST(L26:L36,M26:M36)</f>
        <v>0.30092866093806</v>
      </c>
      <c r="L60" s="283" t="n">
        <v>0.221821912736386</v>
      </c>
      <c r="N60" s="249"/>
      <c r="O60" s="249"/>
    </row>
    <row r="61" customFormat="false" ht="12.8" hidden="false" customHeight="false" outlineLevel="0" collapsed="false">
      <c r="A61" s="139"/>
      <c r="B61" s="139"/>
      <c r="C61" s="139"/>
      <c r="D61" s="138" t="s">
        <v>106</v>
      </c>
      <c r="E61" s="279" t="n">
        <f aca="false">(E59*E60)+F60</f>
        <v>2.5477221067396</v>
      </c>
      <c r="F61" s="194"/>
      <c r="G61" s="281"/>
      <c r="H61" s="279" t="n">
        <f aca="false">(H59*H60)+I60</f>
        <v>1.08231905217807</v>
      </c>
      <c r="I61" s="285"/>
      <c r="J61" s="193"/>
      <c r="K61" s="279" t="n">
        <f aca="false">(K59*K60)+L60</f>
        <v>1.22491744919658</v>
      </c>
      <c r="L61" s="285"/>
      <c r="M61" s="249"/>
      <c r="N61" s="249"/>
      <c r="O61" s="249"/>
    </row>
    <row r="62" customFormat="false" ht="12.8" hidden="false" customHeight="false" outlineLevel="0" collapsed="false">
      <c r="A62" s="52"/>
      <c r="B62" s="52"/>
      <c r="C62" s="139"/>
      <c r="D62" s="138" t="s">
        <v>126</v>
      </c>
      <c r="E62" s="279" t="n">
        <f aca="false" t="array" ref="E62:F62">LINEST(B2:B12,C2:C12)</f>
        <v>3.13108183713084</v>
      </c>
      <c r="F62" s="285" t="n">
        <v>0.000622635954573363</v>
      </c>
      <c r="G62" s="281"/>
      <c r="H62" s="279" t="n">
        <f aca="false" t="array" ref="H62:I62">LINEST(B26:B36,C26:C36)</f>
        <v>2.98699761840629</v>
      </c>
      <c r="I62" s="285" t="n">
        <v>-0.000616352362423981</v>
      </c>
      <c r="J62" s="193"/>
      <c r="K62" s="288" t="n">
        <f aca="false" t="array" ref="K62:L62">LINEST(K26:K36,L26:L36)</f>
        <v>1.05325631990576</v>
      </c>
      <c r="L62" s="285" t="n">
        <v>0.000255859537147681</v>
      </c>
      <c r="M62" s="249"/>
    </row>
    <row r="63" customFormat="false" ht="12.8" hidden="false" customHeight="false" outlineLevel="0" collapsed="false">
      <c r="A63" s="52"/>
      <c r="B63" s="52"/>
      <c r="C63" s="139"/>
      <c r="D63" s="209" t="s">
        <v>105</v>
      </c>
      <c r="E63" s="289" t="n">
        <f aca="false">(E62*E61)+F62</f>
        <v>7.97774905042366</v>
      </c>
      <c r="F63" s="290"/>
      <c r="G63" s="287"/>
      <c r="H63" s="289" t="n">
        <f aca="false">(H62*H61)+I62</f>
        <v>3.23226807884924</v>
      </c>
      <c r="I63" s="291"/>
      <c r="J63" s="286"/>
      <c r="K63" s="289" t="n">
        <f aca="false">(K62*K61)+L62</f>
        <v>1.2904079042663</v>
      </c>
      <c r="L63" s="291"/>
      <c r="M63" s="249"/>
      <c r="O63" s="249"/>
    </row>
    <row r="64" customFormat="false" ht="12.8" hidden="false" customHeight="false" outlineLevel="0" collapsed="false">
      <c r="A64" s="139"/>
      <c r="B64" s="139"/>
      <c r="C64" s="139"/>
      <c r="M64" s="249"/>
      <c r="O64" s="249"/>
    </row>
    <row r="65" customFormat="false" ht="12.8" hidden="false" customHeight="false" outlineLevel="0" collapsed="false">
      <c r="A65" s="249"/>
      <c r="B65" s="249"/>
      <c r="C65" s="249"/>
      <c r="G65" s="249"/>
      <c r="I65" s="249"/>
      <c r="K65" s="249"/>
      <c r="L65" s="249"/>
      <c r="M65" s="249"/>
      <c r="O65" s="249"/>
    </row>
    <row r="66" customFormat="false" ht="12.8" hidden="false" customHeight="false" outlineLevel="0" collapsed="false">
      <c r="A66" s="249"/>
      <c r="B66" s="249"/>
      <c r="C66" s="249"/>
      <c r="D66" s="249"/>
      <c r="G66" s="249"/>
      <c r="I66" s="249"/>
      <c r="K66" s="249"/>
      <c r="L66" s="249"/>
      <c r="M66" s="249"/>
      <c r="O66" s="249"/>
    </row>
    <row r="67" customFormat="false" ht="12.8" hidden="false" customHeight="false" outlineLevel="0" collapsed="false">
      <c r="A67" s="249"/>
      <c r="B67" s="249"/>
      <c r="C67" s="249"/>
      <c r="D67" s="249"/>
      <c r="E67" s="249"/>
      <c r="G67" s="249"/>
      <c r="I67" s="249"/>
      <c r="J67" s="249"/>
      <c r="K67" s="249"/>
      <c r="L67" s="249"/>
      <c r="M67" s="249"/>
      <c r="N67" s="249"/>
      <c r="O67" s="249"/>
    </row>
    <row r="68" customFormat="false" ht="12.8" hidden="false" customHeight="false" outlineLevel="0" collapsed="false">
      <c r="A68" s="249"/>
      <c r="B68" s="249"/>
      <c r="C68" s="249"/>
      <c r="D68" s="249"/>
      <c r="E68" s="249"/>
      <c r="G68" s="249"/>
      <c r="I68" s="249"/>
      <c r="J68" s="249"/>
      <c r="K68" s="249"/>
      <c r="L68" s="249"/>
      <c r="M68" s="249"/>
      <c r="N68" s="249"/>
      <c r="O68" s="249"/>
    </row>
    <row r="69" customFormat="false" ht="12.8" hidden="false" customHeight="false" outlineLevel="0" collapsed="false">
      <c r="A69" s="249"/>
      <c r="B69" s="249"/>
      <c r="C69" s="249"/>
      <c r="D69" s="249"/>
      <c r="I69" s="249"/>
      <c r="L69" s="249"/>
      <c r="M69" s="249"/>
    </row>
    <row r="70" customFormat="false" ht="12.8" hidden="false" customHeight="false" outlineLevel="0" collapsed="false">
      <c r="A70" s="249"/>
      <c r="B70" s="249"/>
      <c r="C70" s="249"/>
      <c r="D70" s="249"/>
      <c r="E70" s="249"/>
      <c r="G70" s="249"/>
      <c r="I70" s="249"/>
      <c r="J70" s="249"/>
      <c r="K70" s="249"/>
      <c r="L70" s="249"/>
      <c r="M70" s="249"/>
      <c r="N70" s="249"/>
      <c r="O70" s="249"/>
    </row>
    <row r="71" customFormat="false" ht="12.8" hidden="false" customHeight="false" outlineLevel="0" collapsed="false">
      <c r="A71" s="249"/>
      <c r="B71" s="249"/>
      <c r="C71" s="249"/>
      <c r="D71" s="249"/>
      <c r="E71" s="249"/>
      <c r="G71" s="249"/>
      <c r="I71" s="249"/>
      <c r="J71" s="249"/>
      <c r="K71" s="249"/>
      <c r="L71" s="249"/>
      <c r="M71" s="249"/>
      <c r="N71" s="249"/>
      <c r="O71" s="249"/>
    </row>
    <row r="72" customFormat="false" ht="12.8" hidden="false" customHeight="false" outlineLevel="0" collapsed="false">
      <c r="A72" s="249"/>
      <c r="B72" s="249"/>
      <c r="C72" s="249"/>
      <c r="D72" s="249"/>
      <c r="G72" s="249"/>
      <c r="I72" s="249"/>
      <c r="K72" s="249"/>
      <c r="L72" s="249"/>
      <c r="M72" s="249"/>
      <c r="O72" s="249"/>
    </row>
    <row r="73" customFormat="false" ht="12.8" hidden="false" customHeight="false" outlineLevel="0" collapsed="false">
      <c r="A73" s="249"/>
      <c r="B73" s="249"/>
      <c r="C73" s="249"/>
      <c r="D73" s="249"/>
      <c r="E73" s="249"/>
      <c r="G73" s="249"/>
      <c r="I73" s="249"/>
      <c r="J73" s="249"/>
      <c r="K73" s="249"/>
      <c r="L73" s="249"/>
      <c r="M73" s="249"/>
      <c r="N73" s="249"/>
      <c r="O73" s="249"/>
    </row>
    <row r="74" customFormat="false" ht="12.8" hidden="false" customHeight="false" outlineLevel="0" collapsed="false">
      <c r="A74" s="249"/>
      <c r="B74" s="249"/>
      <c r="C74" s="249"/>
      <c r="D74" s="249"/>
      <c r="E74" s="249"/>
      <c r="G74" s="249"/>
      <c r="I74" s="249"/>
      <c r="J74" s="249"/>
      <c r="K74" s="249"/>
      <c r="L74" s="249"/>
      <c r="M74" s="249"/>
      <c r="N74" s="249"/>
      <c r="O74" s="249"/>
    </row>
    <row r="75" customFormat="false" ht="12.8" hidden="false" customHeight="false" outlineLevel="0" collapsed="false">
      <c r="A75" s="249"/>
      <c r="B75" s="249"/>
      <c r="C75" s="249"/>
      <c r="D75" s="249"/>
      <c r="E75" s="249"/>
      <c r="G75" s="249"/>
      <c r="I75" s="249"/>
      <c r="J75" s="249"/>
      <c r="K75" s="249"/>
      <c r="L75" s="249"/>
      <c r="M75" s="249"/>
      <c r="N75" s="249"/>
      <c r="O75" s="249"/>
    </row>
    <row r="76" customFormat="false" ht="12.8" hidden="false" customHeight="false" outlineLevel="0" collapsed="false">
      <c r="A76" s="249"/>
      <c r="B76" s="249"/>
      <c r="C76" s="249"/>
      <c r="D76" s="249"/>
      <c r="I76" s="249"/>
      <c r="L76" s="249"/>
      <c r="M76" s="249"/>
    </row>
    <row r="77" customFormat="false" ht="12.8" hidden="false" customHeight="false" outlineLevel="0" collapsed="false">
      <c r="A77" s="249"/>
      <c r="B77" s="249"/>
      <c r="C77" s="249"/>
      <c r="D77" s="249"/>
      <c r="G77" s="249"/>
      <c r="I77" s="249"/>
      <c r="J77" s="249"/>
      <c r="K77" s="249"/>
      <c r="L77" s="249"/>
      <c r="M77" s="249"/>
      <c r="N77" s="249"/>
      <c r="O77" s="249"/>
    </row>
    <row r="78" customFormat="false" ht="12.8" hidden="false" customHeight="false" outlineLevel="0" collapsed="false">
      <c r="A78" s="249"/>
      <c r="B78" s="249"/>
      <c r="C78" s="249"/>
      <c r="D78" s="249"/>
      <c r="G78" s="249"/>
      <c r="I78" s="249"/>
      <c r="K78" s="249"/>
      <c r="L78" s="249"/>
      <c r="M78" s="249"/>
      <c r="O78" s="249"/>
    </row>
  </sheetData>
  <mergeCells count="4">
    <mergeCell ref="H53:L53"/>
    <mergeCell ref="E54:F54"/>
    <mergeCell ref="H54:I54"/>
    <mergeCell ref="K54:L5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15.62"/>
    <col collapsed="false" customWidth="true" hidden="false" outlineLevel="0" max="5" min="3" style="0" width="12.84"/>
  </cols>
  <sheetData>
    <row r="1" customFormat="false" ht="12.8" hidden="false" customHeight="false" outlineLevel="0" collapsed="false">
      <c r="A1" s="211" t="s">
        <v>127</v>
      </c>
      <c r="B1" s="211" t="s">
        <v>128</v>
      </c>
      <c r="C1" s="211" t="s">
        <v>129</v>
      </c>
      <c r="D1" s="211" t="s">
        <v>130</v>
      </c>
      <c r="E1" s="211" t="s">
        <v>131</v>
      </c>
      <c r="F1" s="211" t="s">
        <v>132</v>
      </c>
      <c r="G1" s="211" t="s">
        <v>133</v>
      </c>
      <c r="H1" s="292" t="s">
        <v>134</v>
      </c>
    </row>
    <row r="2" customFormat="false" ht="12.8" hidden="false" customHeight="false" outlineLevel="0" collapsed="false">
      <c r="A2" s="273" t="s">
        <v>135</v>
      </c>
      <c r="B2" s="274" t="n">
        <v>18.9</v>
      </c>
      <c r="C2" s="274" t="n">
        <f aca="false">((B2*1000)/350)</f>
        <v>54</v>
      </c>
      <c r="D2" s="274" t="n">
        <f aca="false">((B2*1000)/350)/1000</f>
        <v>0.054</v>
      </c>
      <c r="E2" s="274" t="n">
        <f aca="false">D2*100</f>
        <v>5.4</v>
      </c>
      <c r="F2" s="274" t="n">
        <f aca="false">D2*1000</f>
        <v>54</v>
      </c>
      <c r="G2" s="274" t="n">
        <f aca="false">D2*2000</f>
        <v>108</v>
      </c>
      <c r="H2" s="292" t="s">
        <v>136</v>
      </c>
    </row>
    <row r="3" customFormat="false" ht="12.8" hidden="false" customHeight="false" outlineLevel="0" collapsed="false">
      <c r="A3" s="273" t="s">
        <v>137</v>
      </c>
      <c r="B3" s="274" t="n">
        <v>522.8</v>
      </c>
      <c r="C3" s="274" t="n">
        <f aca="false">((B3*1000)/350)</f>
        <v>1493.71428571429</v>
      </c>
      <c r="D3" s="274" t="n">
        <f aca="false">((B3*1000)/350)/1000</f>
        <v>1.49371428571429</v>
      </c>
      <c r="E3" s="274" t="n">
        <f aca="false">D3*100</f>
        <v>149.371428571429</v>
      </c>
      <c r="F3" s="274" t="n">
        <f aca="false">D3*1000</f>
        <v>1493.71428571429</v>
      </c>
      <c r="G3" s="274" t="n">
        <f aca="false">D3*2000</f>
        <v>2987.42857142857</v>
      </c>
      <c r="H3" s="292" t="s">
        <v>138</v>
      </c>
    </row>
    <row r="4" customFormat="false" ht="12.8" hidden="false" customHeight="false" outlineLevel="0" collapsed="false">
      <c r="A4" s="273" t="s">
        <v>139</v>
      </c>
      <c r="B4" s="274" t="n">
        <v>0.42</v>
      </c>
      <c r="C4" s="274" t="n">
        <f aca="false">((B4*1000)/350)</f>
        <v>1.2</v>
      </c>
      <c r="D4" s="274" t="n">
        <f aca="false">((B4*1000)/350)/1000</f>
        <v>0.0012</v>
      </c>
      <c r="E4" s="274" t="n">
        <f aca="false">D4*100</f>
        <v>0.12</v>
      </c>
      <c r="F4" s="274" t="n">
        <f aca="false">D4*1000</f>
        <v>1.2</v>
      </c>
      <c r="G4" s="274" t="n">
        <f aca="false">D4*2000</f>
        <v>2.4</v>
      </c>
      <c r="H4" s="292" t="s">
        <v>140</v>
      </c>
    </row>
    <row r="5" customFormat="false" ht="12.8" hidden="false" customHeight="false" outlineLevel="0" collapsed="false">
      <c r="A5" s="273" t="s">
        <v>141</v>
      </c>
      <c r="B5" s="274" t="n">
        <v>10.5</v>
      </c>
      <c r="C5" s="274" t="n">
        <f aca="false">((B5*1000)/350)</f>
        <v>30</v>
      </c>
      <c r="D5" s="274" t="n">
        <f aca="false">((B5*1000)/350)/1000</f>
        <v>0.03</v>
      </c>
      <c r="E5" s="274" t="n">
        <f aca="false">D5*100</f>
        <v>3</v>
      </c>
      <c r="F5" s="274" t="n">
        <f aca="false">D5*1000</f>
        <v>30</v>
      </c>
      <c r="G5" s="274" t="n">
        <f aca="false">D5*2000</f>
        <v>60</v>
      </c>
      <c r="H5" s="292" t="s">
        <v>142</v>
      </c>
    </row>
    <row r="6" customFormat="false" ht="12.8" hidden="false" customHeight="false" outlineLevel="0" collapsed="false">
      <c r="A6" s="273" t="s">
        <v>143</v>
      </c>
      <c r="B6" s="274" t="n">
        <v>0.0105</v>
      </c>
      <c r="C6" s="274" t="n">
        <f aca="false">((B6*1000)/350)</f>
        <v>0.03</v>
      </c>
      <c r="D6" s="274" t="n">
        <f aca="false">((B6*1000)/350)/1000</f>
        <v>3E-005</v>
      </c>
      <c r="E6" s="274" t="n">
        <f aca="false">D6*100</f>
        <v>0.003</v>
      </c>
      <c r="F6" s="274" t="n">
        <f aca="false">D6*1000</f>
        <v>0.03</v>
      </c>
      <c r="G6" s="274" t="n">
        <f aca="false">D6*2000</f>
        <v>0.06</v>
      </c>
      <c r="H6" s="292" t="s">
        <v>144</v>
      </c>
    </row>
    <row r="7" customFormat="false" ht="12.8" hidden="false" customHeight="false" outlineLevel="0" collapsed="false">
      <c r="A7" s="273" t="s">
        <v>145</v>
      </c>
      <c r="B7" s="274" t="n">
        <v>0.21</v>
      </c>
      <c r="C7" s="274" t="n">
        <f aca="false">((B7*1000)/350)</f>
        <v>0.6</v>
      </c>
      <c r="D7" s="274" t="n">
        <f aca="false">((B7*1000)/350)/1000</f>
        <v>0.0006</v>
      </c>
      <c r="E7" s="274" t="n">
        <f aca="false">D7*100</f>
        <v>0.06</v>
      </c>
      <c r="F7" s="274" t="n">
        <f aca="false">D7*1000</f>
        <v>0.6</v>
      </c>
      <c r="G7" s="274" t="n">
        <f aca="false">D7*2000</f>
        <v>1.2</v>
      </c>
      <c r="H7" s="292" t="s">
        <v>146</v>
      </c>
    </row>
    <row r="8" customFormat="false" ht="12.8" hidden="false" customHeight="false" outlineLevel="0" collapsed="false">
      <c r="A8" s="276" t="s">
        <v>147</v>
      </c>
      <c r="B8" s="275" t="n">
        <v>9.23</v>
      </c>
      <c r="C8" s="275" t="n">
        <f aca="false">((B8*1000)/350)</f>
        <v>26.3714285714286</v>
      </c>
      <c r="D8" s="275" t="n">
        <f aca="false">((B8*1000)/350)/1000</f>
        <v>0.0263714285714286</v>
      </c>
      <c r="E8" s="275" t="n">
        <f aca="false">D8*100</f>
        <v>2.63714285714286</v>
      </c>
      <c r="F8" s="275" t="n">
        <f aca="false">D8*1000</f>
        <v>26.3714285714286</v>
      </c>
      <c r="G8" s="275" t="n">
        <f aca="false">D8*2000</f>
        <v>52.7428571428571</v>
      </c>
      <c r="H8" s="292" t="s">
        <v>148</v>
      </c>
    </row>
    <row r="11" customFormat="false" ht="12.8" hidden="false" customHeight="false" outlineLevel="0" collapsed="false">
      <c r="A11" s="211" t="s">
        <v>149</v>
      </c>
      <c r="B11" s="211" t="s">
        <v>150</v>
      </c>
      <c r="C11" s="211"/>
      <c r="D11" s="211"/>
      <c r="E11" s="211"/>
    </row>
    <row r="12" customFormat="false" ht="12.8" hidden="false" customHeight="false" outlineLevel="0" collapsed="false">
      <c r="A12" s="293" t="n">
        <v>500</v>
      </c>
      <c r="B12" s="211" t="s">
        <v>151</v>
      </c>
      <c r="C12" s="211" t="s">
        <v>152</v>
      </c>
      <c r="D12" s="211" t="s">
        <v>153</v>
      </c>
      <c r="E12" s="211" t="s">
        <v>154</v>
      </c>
    </row>
    <row r="13" customFormat="false" ht="12.8" hidden="false" customHeight="false" outlineLevel="0" collapsed="false">
      <c r="A13" s="277" t="s">
        <v>135</v>
      </c>
      <c r="B13" s="294" t="n">
        <f aca="false">D2*($A$12/1000)</f>
        <v>0.027</v>
      </c>
      <c r="C13" s="294" t="n">
        <f aca="false">(E2*$A$12)/1000</f>
        <v>2.7</v>
      </c>
      <c r="D13" s="294" t="n">
        <f aca="false">(F2*$A$12)/1000</f>
        <v>27</v>
      </c>
      <c r="E13" s="294" t="n">
        <f aca="false">(G2*$A$12)/1000</f>
        <v>54</v>
      </c>
    </row>
    <row r="14" customFormat="false" ht="12.8" hidden="false" customHeight="false" outlineLevel="0" collapsed="false">
      <c r="A14" s="273" t="s">
        <v>137</v>
      </c>
      <c r="B14" s="295" t="n">
        <f aca="false">D3*($A$12/1000)</f>
        <v>0.746857142857143</v>
      </c>
      <c r="C14" s="295" t="n">
        <f aca="false">(E3*$A$12)/1000</f>
        <v>74.6857142857143</v>
      </c>
      <c r="D14" s="295" t="n">
        <f aca="false">(F3*$A$12)/1000</f>
        <v>746.857142857143</v>
      </c>
      <c r="E14" s="295" t="n">
        <f aca="false">(G3*$A$12)/1000</f>
        <v>1493.71428571429</v>
      </c>
    </row>
    <row r="15" customFormat="false" ht="12.8" hidden="false" customHeight="false" outlineLevel="0" collapsed="false">
      <c r="A15" s="273" t="s">
        <v>139</v>
      </c>
      <c r="B15" s="295" t="n">
        <f aca="false">D4*($A$12/1000)</f>
        <v>0.0006</v>
      </c>
      <c r="C15" s="295" t="n">
        <f aca="false">(E4*$A$12)/1000</f>
        <v>0.06</v>
      </c>
      <c r="D15" s="295" t="n">
        <f aca="false">(F4*$A$12)/1000</f>
        <v>0.6</v>
      </c>
      <c r="E15" s="295" t="n">
        <f aca="false">(G4*$A$12)/1000</f>
        <v>1.2</v>
      </c>
    </row>
    <row r="16" customFormat="false" ht="12.8" hidden="false" customHeight="false" outlineLevel="0" collapsed="false">
      <c r="A16" s="273" t="s">
        <v>141</v>
      </c>
      <c r="B16" s="295" t="n">
        <f aca="false">D5*($A$12/1000)</f>
        <v>0.015</v>
      </c>
      <c r="C16" s="295" t="n">
        <f aca="false">(E5*$A$12)/1000</f>
        <v>1.5</v>
      </c>
      <c r="D16" s="295" t="n">
        <f aca="false">(F5*$A$12)/1000</f>
        <v>15</v>
      </c>
      <c r="E16" s="295" t="n">
        <f aca="false">(G5*$A$12)/1000</f>
        <v>30</v>
      </c>
    </row>
    <row r="17" customFormat="false" ht="12.8" hidden="false" customHeight="false" outlineLevel="0" collapsed="false">
      <c r="A17" s="273" t="s">
        <v>143</v>
      </c>
      <c r="B17" s="295" t="n">
        <f aca="false">D6*($A$12/1000)</f>
        <v>1.5E-005</v>
      </c>
      <c r="C17" s="295" t="n">
        <f aca="false">(E6*$A$12)/1000</f>
        <v>0.0015</v>
      </c>
      <c r="D17" s="295" t="n">
        <f aca="false">(F6*$A$12)/1000</f>
        <v>0.015</v>
      </c>
      <c r="E17" s="295" t="n">
        <f aca="false">(G6*$A$12)/1000</f>
        <v>0.03</v>
      </c>
    </row>
    <row r="18" customFormat="false" ht="12.8" hidden="false" customHeight="false" outlineLevel="0" collapsed="false">
      <c r="A18" s="273" t="s">
        <v>145</v>
      </c>
      <c r="B18" s="295" t="n">
        <f aca="false">D7*($A$12/1000)</f>
        <v>0.0003</v>
      </c>
      <c r="C18" s="295" t="n">
        <f aca="false">(E7*$A$12)/1000</f>
        <v>0.03</v>
      </c>
      <c r="D18" s="295" t="n">
        <f aca="false">(F7*$A$12)/1000</f>
        <v>0.3</v>
      </c>
      <c r="E18" s="295" t="n">
        <f aca="false">(G7*$A$12)/1000</f>
        <v>0.6</v>
      </c>
    </row>
    <row r="19" customFormat="false" ht="12.8" hidden="false" customHeight="false" outlineLevel="0" collapsed="false">
      <c r="A19" s="273" t="s">
        <v>147</v>
      </c>
      <c r="B19" s="295" t="n">
        <f aca="false">D8*($A$12/1000)</f>
        <v>0.0131857142857143</v>
      </c>
      <c r="C19" s="295" t="n">
        <f aca="false">(E8*$A$12)/1000</f>
        <v>1.31857142857143</v>
      </c>
      <c r="D19" s="295" t="n">
        <f aca="false">(F8*$A$12)/1000</f>
        <v>13.1857142857143</v>
      </c>
      <c r="E19" s="295" t="n">
        <f aca="false">(G8*$A$12)/1000</f>
        <v>26.3714285714286</v>
      </c>
    </row>
    <row r="20" customFormat="false" ht="12.8" hidden="false" customHeight="false" outlineLevel="0" collapsed="false">
      <c r="A20" s="296" t="s">
        <v>149</v>
      </c>
      <c r="B20" s="296" t="n">
        <f aca="false">C20*100</f>
        <v>500</v>
      </c>
      <c r="C20" s="296" t="n">
        <f aca="false">D20*10</f>
        <v>5</v>
      </c>
      <c r="D20" s="296" t="n">
        <f aca="false">1*(A12/1000)</f>
        <v>0.5</v>
      </c>
      <c r="E20" s="296" t="n">
        <f aca="false">D20/2</f>
        <v>0.25</v>
      </c>
    </row>
    <row r="21" customFormat="false" ht="12.8" hidden="false" customHeight="false" outlineLevel="0" collapsed="false">
      <c r="B21" s="249"/>
      <c r="C21" s="249"/>
      <c r="D21" s="249"/>
      <c r="E21" s="249"/>
    </row>
    <row r="23" customFormat="false" ht="12.8" hidden="false" customHeight="false" outlineLevel="0" collapsed="false">
      <c r="A23" s="211" t="s">
        <v>149</v>
      </c>
      <c r="B23" s="211" t="s">
        <v>150</v>
      </c>
      <c r="C23" s="211"/>
      <c r="D23" s="211"/>
      <c r="E23" s="211"/>
    </row>
    <row r="24" customFormat="false" ht="12.8" hidden="false" customHeight="false" outlineLevel="0" collapsed="false">
      <c r="A24" s="293" t="n">
        <v>250</v>
      </c>
      <c r="B24" s="211" t="s">
        <v>151</v>
      </c>
      <c r="C24" s="211" t="s">
        <v>152</v>
      </c>
      <c r="D24" s="211" t="s">
        <v>153</v>
      </c>
      <c r="E24" s="211" t="s">
        <v>154</v>
      </c>
    </row>
    <row r="25" customFormat="false" ht="12.8" hidden="false" customHeight="false" outlineLevel="0" collapsed="false">
      <c r="A25" s="277" t="s">
        <v>135</v>
      </c>
      <c r="B25" s="294" t="n">
        <f aca="false">D2*($A$24/1000)</f>
        <v>0.0135</v>
      </c>
      <c r="C25" s="294" t="n">
        <f aca="false">(E2*$A$24)/1000</f>
        <v>1.35</v>
      </c>
      <c r="D25" s="294" t="n">
        <f aca="false">(F2*$A$24)/1000</f>
        <v>13.5</v>
      </c>
      <c r="E25" s="294" t="n">
        <f aca="false">(G2*$A$24)/1000</f>
        <v>27</v>
      </c>
    </row>
    <row r="26" customFormat="false" ht="12.8" hidden="false" customHeight="false" outlineLevel="0" collapsed="false">
      <c r="A26" s="273" t="s">
        <v>137</v>
      </c>
      <c r="B26" s="295" t="n">
        <f aca="false">D3*($A$24/1000)</f>
        <v>0.373428571428571</v>
      </c>
      <c r="C26" s="295" t="n">
        <f aca="false">(E3*$A$24)/1000</f>
        <v>37.3428571428571</v>
      </c>
      <c r="D26" s="295" t="n">
        <f aca="false">(F3*$A$24)/1000</f>
        <v>373.428571428571</v>
      </c>
      <c r="E26" s="295" t="n">
        <f aca="false">(G3*$A$24)/1000</f>
        <v>746.857142857143</v>
      </c>
    </row>
    <row r="27" customFormat="false" ht="12.8" hidden="false" customHeight="false" outlineLevel="0" collapsed="false">
      <c r="A27" s="273" t="s">
        <v>139</v>
      </c>
      <c r="B27" s="295" t="n">
        <f aca="false">D4*($A$24/1000)</f>
        <v>0.0003</v>
      </c>
      <c r="C27" s="295" t="n">
        <f aca="false">(E4*$A$24)/1000</f>
        <v>0.03</v>
      </c>
      <c r="D27" s="295" t="n">
        <f aca="false">(F4*$A$24)/1000</f>
        <v>0.3</v>
      </c>
      <c r="E27" s="295" t="n">
        <f aca="false">(G4*$A$24)/1000</f>
        <v>0.6</v>
      </c>
    </row>
    <row r="28" customFormat="false" ht="12.8" hidden="false" customHeight="false" outlineLevel="0" collapsed="false">
      <c r="A28" s="273" t="s">
        <v>141</v>
      </c>
      <c r="B28" s="295" t="n">
        <f aca="false">D5*($A$24/1000)</f>
        <v>0.0075</v>
      </c>
      <c r="C28" s="295" t="n">
        <f aca="false">(E5*$A$24)/1000</f>
        <v>0.75</v>
      </c>
      <c r="D28" s="295" t="n">
        <f aca="false">(F5*$A$24)/1000</f>
        <v>7.5</v>
      </c>
      <c r="E28" s="295" t="n">
        <f aca="false">(G5*$A$24)/1000</f>
        <v>15</v>
      </c>
    </row>
    <row r="29" customFormat="false" ht="12.8" hidden="false" customHeight="false" outlineLevel="0" collapsed="false">
      <c r="A29" s="273" t="s">
        <v>143</v>
      </c>
      <c r="B29" s="295" t="n">
        <f aca="false">D6*($A$24/1000)</f>
        <v>7.5E-006</v>
      </c>
      <c r="C29" s="295" t="n">
        <f aca="false">(E6*$A$24)/1000</f>
        <v>0.00075</v>
      </c>
      <c r="D29" s="295" t="n">
        <f aca="false">(F6*$A$24)/1000</f>
        <v>0.0075</v>
      </c>
      <c r="E29" s="295" t="n">
        <f aca="false">(G6*$A$24)/1000</f>
        <v>0.015</v>
      </c>
    </row>
    <row r="30" customFormat="false" ht="12.8" hidden="false" customHeight="false" outlineLevel="0" collapsed="false">
      <c r="A30" s="273" t="s">
        <v>145</v>
      </c>
      <c r="B30" s="295" t="n">
        <f aca="false">D7*($A$24/1000)</f>
        <v>0.00015</v>
      </c>
      <c r="C30" s="295" t="n">
        <f aca="false">(E7*$A$24)/1000</f>
        <v>0.015</v>
      </c>
      <c r="D30" s="295" t="n">
        <f aca="false">(F7*$A$24)/1000</f>
        <v>0.15</v>
      </c>
      <c r="E30" s="295" t="n">
        <f aca="false">(G7*$A$24)/1000</f>
        <v>0.3</v>
      </c>
    </row>
    <row r="31" customFormat="false" ht="12.8" hidden="false" customHeight="false" outlineLevel="0" collapsed="false">
      <c r="A31" s="273" t="s">
        <v>147</v>
      </c>
      <c r="B31" s="295" t="n">
        <f aca="false">D8*($A$24/1000)</f>
        <v>0.00659285714285714</v>
      </c>
      <c r="C31" s="295" t="n">
        <f aca="false">(E8*$A$24)/1000</f>
        <v>0.659285714285714</v>
      </c>
      <c r="D31" s="295" t="n">
        <f aca="false">(F8*$A$24)/1000</f>
        <v>6.59285714285714</v>
      </c>
      <c r="E31" s="295" t="n">
        <f aca="false">(G8*$A$24)/1000</f>
        <v>13.1857142857143</v>
      </c>
    </row>
    <row r="32" customFormat="false" ht="12.8" hidden="false" customHeight="false" outlineLevel="0" collapsed="false">
      <c r="A32" s="296" t="s">
        <v>149</v>
      </c>
      <c r="B32" s="296" t="n">
        <f aca="false">C32*100</f>
        <v>250</v>
      </c>
      <c r="C32" s="296" t="n">
        <f aca="false">D32*10</f>
        <v>2.5</v>
      </c>
      <c r="D32" s="296" t="n">
        <f aca="false">1*(A24/1000)</f>
        <v>0.25</v>
      </c>
      <c r="E32" s="296" t="n">
        <f aca="false">D32/2</f>
        <v>0.125</v>
      </c>
    </row>
    <row r="35" customFormat="false" ht="12.8" hidden="false" customHeight="false" outlineLevel="0" collapsed="false">
      <c r="A35" s="211" t="s">
        <v>149</v>
      </c>
      <c r="B35" s="211" t="s">
        <v>150</v>
      </c>
      <c r="C35" s="211"/>
      <c r="D35" s="211"/>
      <c r="E35" s="211"/>
    </row>
    <row r="36" customFormat="false" ht="12.8" hidden="false" customHeight="false" outlineLevel="0" collapsed="false">
      <c r="A36" s="293" t="n">
        <v>2000</v>
      </c>
      <c r="B36" s="211" t="s">
        <v>151</v>
      </c>
      <c r="C36" s="211" t="s">
        <v>152</v>
      </c>
      <c r="D36" s="211" t="s">
        <v>153</v>
      </c>
      <c r="E36" s="211" t="s">
        <v>154</v>
      </c>
    </row>
    <row r="37" customFormat="false" ht="12.8" hidden="false" customHeight="false" outlineLevel="0" collapsed="false">
      <c r="A37" s="277" t="s">
        <v>135</v>
      </c>
      <c r="B37" s="294" t="n">
        <f aca="false">D2*($A$36/1000)</f>
        <v>0.108</v>
      </c>
      <c r="C37" s="294" t="n">
        <f aca="false">(E2*$A$36)/1000</f>
        <v>10.8</v>
      </c>
      <c r="D37" s="294" t="n">
        <f aca="false">(F2*$A$36)/1000</f>
        <v>108</v>
      </c>
      <c r="E37" s="294" t="n">
        <f aca="false">(G2*$A$36)/1000</f>
        <v>216</v>
      </c>
    </row>
    <row r="38" customFormat="false" ht="12.8" hidden="false" customHeight="false" outlineLevel="0" collapsed="false">
      <c r="A38" s="273" t="s">
        <v>137</v>
      </c>
      <c r="B38" s="295" t="n">
        <f aca="false">D3*($A$36/1000)</f>
        <v>2.98742857142857</v>
      </c>
      <c r="C38" s="295" t="n">
        <f aca="false">(E3*$A$36)/1000</f>
        <v>298.742857142857</v>
      </c>
      <c r="D38" s="295" t="n">
        <f aca="false">(F3*$A$36)/1000</f>
        <v>2987.42857142857</v>
      </c>
      <c r="E38" s="295" t="n">
        <f aca="false">(G3*$A$36)/1000</f>
        <v>5974.85714285714</v>
      </c>
    </row>
    <row r="39" customFormat="false" ht="12.8" hidden="false" customHeight="false" outlineLevel="0" collapsed="false">
      <c r="A39" s="273" t="s">
        <v>139</v>
      </c>
      <c r="B39" s="295" t="n">
        <f aca="false">D4*($A$36/1000)</f>
        <v>0.0024</v>
      </c>
      <c r="C39" s="295" t="n">
        <f aca="false">(E4*$A$36)/1000</f>
        <v>0.24</v>
      </c>
      <c r="D39" s="295" t="n">
        <f aca="false">(F4*$A$36)/1000</f>
        <v>2.4</v>
      </c>
      <c r="E39" s="295" t="n">
        <f aca="false">(G4*$A$36)/1000</f>
        <v>4.8</v>
      </c>
    </row>
    <row r="40" customFormat="false" ht="12.8" hidden="false" customHeight="false" outlineLevel="0" collapsed="false">
      <c r="A40" s="273" t="s">
        <v>141</v>
      </c>
      <c r="B40" s="295" t="n">
        <f aca="false">D5*($A$36/1000)</f>
        <v>0.06</v>
      </c>
      <c r="C40" s="295" t="n">
        <f aca="false">(E5*$A$36)/1000</f>
        <v>6</v>
      </c>
      <c r="D40" s="295" t="n">
        <f aca="false">(F5*$A$36)/1000</f>
        <v>60</v>
      </c>
      <c r="E40" s="295" t="n">
        <f aca="false">(G5*$A$36)/1000</f>
        <v>120</v>
      </c>
    </row>
    <row r="41" customFormat="false" ht="12.8" hidden="false" customHeight="false" outlineLevel="0" collapsed="false">
      <c r="A41" s="273" t="s">
        <v>143</v>
      </c>
      <c r="B41" s="295" t="n">
        <f aca="false">D6*($A$36/1000)</f>
        <v>6E-005</v>
      </c>
      <c r="C41" s="295" t="n">
        <f aca="false">(E6*$A$36)/1000</f>
        <v>0.006</v>
      </c>
      <c r="D41" s="295" t="n">
        <f aca="false">(F6*$A$36)/1000</f>
        <v>0.06</v>
      </c>
      <c r="E41" s="295" t="n">
        <f aca="false">(G6*$A$36)/1000</f>
        <v>0.12</v>
      </c>
    </row>
    <row r="42" customFormat="false" ht="12.8" hidden="false" customHeight="false" outlineLevel="0" collapsed="false">
      <c r="A42" s="273" t="s">
        <v>145</v>
      </c>
      <c r="B42" s="295" t="n">
        <f aca="false">D7*($A$36/1000)</f>
        <v>0.0012</v>
      </c>
      <c r="C42" s="295" t="n">
        <f aca="false">(E7*$A$36)/1000</f>
        <v>0.12</v>
      </c>
      <c r="D42" s="295" t="n">
        <f aca="false">(F7*$A$36)/1000</f>
        <v>1.2</v>
      </c>
      <c r="E42" s="295" t="n">
        <f aca="false">(G7*$A$36)/1000</f>
        <v>2.4</v>
      </c>
    </row>
    <row r="43" customFormat="false" ht="12.8" hidden="false" customHeight="false" outlineLevel="0" collapsed="false">
      <c r="A43" s="273" t="s">
        <v>147</v>
      </c>
      <c r="B43" s="295" t="n">
        <f aca="false">D8*($A$36/1000)</f>
        <v>0.0527428571428571</v>
      </c>
      <c r="C43" s="295" t="n">
        <f aca="false">(E8*$A$36)/1000</f>
        <v>5.27428571428571</v>
      </c>
      <c r="D43" s="295" t="n">
        <f aca="false">(F8*$A$36)/1000</f>
        <v>52.7428571428571</v>
      </c>
      <c r="E43" s="295" t="n">
        <f aca="false">(G8*$A$36)/1000</f>
        <v>105.485714285714</v>
      </c>
    </row>
    <row r="44" customFormat="false" ht="12.8" hidden="false" customHeight="false" outlineLevel="0" collapsed="false">
      <c r="A44" s="296" t="s">
        <v>149</v>
      </c>
      <c r="B44" s="296" t="n">
        <f aca="false">C44*100</f>
        <v>2000</v>
      </c>
      <c r="C44" s="296" t="n">
        <f aca="false">D44*10</f>
        <v>20</v>
      </c>
      <c r="D44" s="296" t="n">
        <f aca="false">1*(A36/1000)</f>
        <v>2</v>
      </c>
      <c r="E44" s="296" t="n">
        <f aca="false">D44/2</f>
        <v>1</v>
      </c>
    </row>
  </sheetData>
  <mergeCells count="3">
    <mergeCell ref="B11:E11"/>
    <mergeCell ref="B23:E23"/>
    <mergeCell ref="B35:E35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15"/>
    <col collapsed="false" customWidth="true" hidden="false" outlineLevel="0" max="2" min="2" style="0" width="18.68"/>
    <col collapsed="false" customWidth="true" hidden="false" outlineLevel="0" max="3" min="3" style="0" width="13.76"/>
    <col collapsed="false" customWidth="true" hidden="false" outlineLevel="0" max="4" min="4" style="0" width="17.01"/>
    <col collapsed="false" customWidth="true" hidden="false" outlineLevel="0" max="5" min="5" style="0" width="23.41"/>
    <col collapsed="false" customWidth="true" hidden="false" outlineLevel="0" max="6" min="6" style="0" width="11.4"/>
    <col collapsed="false" customWidth="true" hidden="false" outlineLevel="0" max="8" min="8" style="0" width="16.59"/>
    <col collapsed="false" customWidth="true" hidden="false" outlineLevel="0" max="9" min="9" style="0" width="20.5"/>
    <col collapsed="false" customWidth="true" hidden="false" outlineLevel="0" max="10" min="10" style="0" width="18.68"/>
    <col collapsed="false" customWidth="true" hidden="false" outlineLevel="0" max="11" min="11" style="0" width="15.76"/>
    <col collapsed="false" customWidth="true" hidden="false" outlineLevel="0" max="12" min="12" style="0" width="16.59"/>
    <col collapsed="false" customWidth="true" hidden="false" outlineLevel="0" max="13" min="13" style="0" width="20.5"/>
    <col collapsed="false" customWidth="true" hidden="false" outlineLevel="0" max="15" min="15" style="0" width="15.76"/>
  </cols>
  <sheetData>
    <row r="1" customFormat="false" ht="12.8" hidden="false" customHeight="false" outlineLevel="0" collapsed="false">
      <c r="A1" s="54" t="s">
        <v>155</v>
      </c>
      <c r="B1" s="54"/>
      <c r="C1" s="14" t="s">
        <v>156</v>
      </c>
      <c r="D1" s="14"/>
      <c r="E1" s="14"/>
      <c r="F1" s="14"/>
      <c r="G1" s="8" t="s">
        <v>157</v>
      </c>
      <c r="H1" s="8"/>
      <c r="I1" s="8"/>
      <c r="J1" s="8"/>
      <c r="K1" s="8"/>
    </row>
    <row r="2" customFormat="false" ht="12.8" hidden="false" customHeight="false" outlineLevel="0" collapsed="false">
      <c r="A2" s="54" t="s">
        <v>158</v>
      </c>
      <c r="B2" s="54" t="s">
        <v>159</v>
      </c>
      <c r="C2" s="14" t="s">
        <v>160</v>
      </c>
      <c r="D2" s="14" t="s">
        <v>161</v>
      </c>
      <c r="E2" s="14" t="s">
        <v>162</v>
      </c>
      <c r="F2" s="14" t="s">
        <v>163</v>
      </c>
      <c r="G2" s="8" t="s">
        <v>160</v>
      </c>
      <c r="H2" s="8" t="s">
        <v>164</v>
      </c>
      <c r="I2" s="8" t="s">
        <v>165</v>
      </c>
      <c r="J2" s="8" t="s">
        <v>166</v>
      </c>
      <c r="K2" s="8" t="s">
        <v>167</v>
      </c>
    </row>
    <row r="3" customFormat="false" ht="12.8" hidden="false" customHeight="false" outlineLevel="0" collapsed="false">
      <c r="A3" s="297" t="s">
        <v>168</v>
      </c>
      <c r="B3" s="298" t="n">
        <v>50</v>
      </c>
      <c r="C3" s="36" t="n">
        <v>6.25</v>
      </c>
      <c r="D3" s="36" t="n">
        <v>4.2</v>
      </c>
      <c r="E3" s="16" t="n">
        <f aca="false">(D3*F3*50000)/B3</f>
        <v>420</v>
      </c>
      <c r="F3" s="15" t="n">
        <v>0.1</v>
      </c>
      <c r="G3" s="9" t="n">
        <v>4.05</v>
      </c>
      <c r="H3" s="9" t="n">
        <v>3.95</v>
      </c>
      <c r="I3" s="10" t="n">
        <f aca="false">(H3*J3*60000)/B3</f>
        <v>474</v>
      </c>
      <c r="J3" s="9" t="n">
        <v>0.1</v>
      </c>
      <c r="K3" s="10" t="n">
        <f aca="false">I3/E3</f>
        <v>1.12857142857143</v>
      </c>
    </row>
    <row r="4" customFormat="false" ht="12.8" hidden="false" customHeight="false" outlineLevel="0" collapsed="false">
      <c r="A4" s="299" t="s">
        <v>169</v>
      </c>
      <c r="B4" s="298" t="n">
        <v>50</v>
      </c>
      <c r="C4" s="36" t="n">
        <v>5.78</v>
      </c>
      <c r="D4" s="36" t="n">
        <v>10.5</v>
      </c>
      <c r="E4" s="35" t="n">
        <f aca="false">(D4*F4*50000)/B4</f>
        <v>1050</v>
      </c>
      <c r="F4" s="36" t="n">
        <v>0.1</v>
      </c>
      <c r="G4" s="30" t="n">
        <v>4.01</v>
      </c>
      <c r="H4" s="30" t="n">
        <v>11.3</v>
      </c>
      <c r="I4" s="31" t="n">
        <f aca="false">(H4*J4*60000)/B4</f>
        <v>1356</v>
      </c>
      <c r="J4" s="30" t="n">
        <v>0.1</v>
      </c>
      <c r="K4" s="10" t="n">
        <f aca="false">I4/E4</f>
        <v>1.29142857142857</v>
      </c>
    </row>
    <row r="5" customFormat="false" ht="12.8" hidden="false" customHeight="false" outlineLevel="0" collapsed="false">
      <c r="A5" s="299"/>
      <c r="B5" s="298"/>
      <c r="C5" s="36"/>
      <c r="D5" s="36"/>
      <c r="E5" s="35" t="e">
        <f aca="false">(D5*F5*50000)/B5</f>
        <v>#DIV/0!</v>
      </c>
      <c r="F5" s="36"/>
      <c r="G5" s="30"/>
      <c r="H5" s="30"/>
      <c r="I5" s="31" t="e">
        <f aca="false">(H5*J5*60000)/B5</f>
        <v>#DIV/0!</v>
      </c>
      <c r="J5" s="30"/>
      <c r="K5" s="10" t="e">
        <f aca="false">I5/E5</f>
        <v>#DIV/0!</v>
      </c>
    </row>
    <row r="6" customFormat="false" ht="12.8" hidden="false" customHeight="false" outlineLevel="0" collapsed="false">
      <c r="A6" s="299"/>
      <c r="B6" s="298"/>
      <c r="C6" s="36"/>
      <c r="D6" s="36"/>
      <c r="E6" s="35" t="e">
        <f aca="false">(D6*F6*50000)/B6</f>
        <v>#DIV/0!</v>
      </c>
      <c r="F6" s="36"/>
      <c r="G6" s="30"/>
      <c r="H6" s="30"/>
      <c r="I6" s="31" t="e">
        <f aca="false">(H6*J6*60000)/B6</f>
        <v>#DIV/0!</v>
      </c>
      <c r="J6" s="30"/>
      <c r="K6" s="10" t="e">
        <f aca="false">I6/E6</f>
        <v>#DIV/0!</v>
      </c>
    </row>
    <row r="7" customFormat="false" ht="12.8" hidden="false" customHeight="false" outlineLevel="0" collapsed="false">
      <c r="A7" s="300"/>
      <c r="B7" s="301"/>
      <c r="C7" s="18"/>
      <c r="D7" s="18"/>
      <c r="E7" s="19" t="e">
        <f aca="false">(D7*F7*50000)/B7</f>
        <v>#DIV/0!</v>
      </c>
      <c r="F7" s="18"/>
      <c r="G7" s="12"/>
      <c r="H7" s="12"/>
      <c r="I7" s="13" t="e">
        <f aca="false">(H7*J7*60000)/B7</f>
        <v>#DIV/0!</v>
      </c>
      <c r="J7" s="12"/>
      <c r="K7" s="10" t="e">
        <f aca="false">I7/E7</f>
        <v>#DIV/0!</v>
      </c>
    </row>
  </sheetData>
  <mergeCells count="3">
    <mergeCell ref="A1:B1"/>
    <mergeCell ref="C1:F1"/>
    <mergeCell ref="G1:K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743</TotalTime>
  <Application>LibreOffice/25.8.7.3$Linux_X86_64 LibreOffice_project/fa62c01a44f84ad74d4904d2c894664e98fd27c1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2026-05-15T17:11:55Z</dcterms:created>
  <dc:creator/>
  <dc:description/>
  <dc:language>en-US</dc:language>
  <cp:lastModifiedBy/>
  <dcterms:modified xsi:type="dcterms:W3CDTF">2026-05-28T21:47:31Z</dcterms:modified>
  <cp:revision>177</cp:revision>
  <dc:subject/>
  <dc:title/>
</cp:coreProperties>
</file>